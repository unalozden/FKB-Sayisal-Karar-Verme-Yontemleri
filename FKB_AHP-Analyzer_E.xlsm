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011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unalozden/Documents/ders slaytları/TBB_Egitim/"/>
    </mc:Choice>
  </mc:AlternateContent>
  <xr:revisionPtr revIDLastSave="0" documentId="13_ncr:1_{7C84A9BB-FC8A-6846-BB51-0A1512A7F067}" xr6:coauthVersionLast="47" xr6:coauthVersionMax="47" xr10:uidLastSave="{00000000-0000-0000-0000-000000000000}"/>
  <bookViews>
    <workbookView xWindow="0" yWindow="500" windowWidth="23620" windowHeight="15360" xr2:uid="{00000000-000D-0000-FFFF-FFFF00000000}"/>
  </bookViews>
  <sheets>
    <sheet name="Control Panel" sheetId="1" r:id="rId1"/>
    <sheet name="Pairwise Comparison" sheetId="2" r:id="rId2"/>
    <sheet name="Data" sheetId="4" r:id="rId3"/>
  </sheets>
  <functionGroups builtInGroupCount="19"/>
  <definedNames>
    <definedName name="_xlnm.Print_Titles" localSheetId="0">'Control Panel'!$1:$1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6" i="2" l="1"/>
  <c r="C66" i="2"/>
  <c r="B66" i="2"/>
  <c r="C65" i="2"/>
  <c r="B65" i="2"/>
  <c r="B64" i="2"/>
  <c r="D59" i="2"/>
  <c r="C59" i="2"/>
  <c r="B59" i="2"/>
  <c r="C58" i="2"/>
  <c r="B58" i="2"/>
  <c r="B57" i="2"/>
  <c r="D52" i="2"/>
  <c r="C52" i="2"/>
  <c r="B52" i="2"/>
  <c r="C51" i="2"/>
  <c r="B51" i="2"/>
  <c r="B50" i="2"/>
  <c r="D45" i="2"/>
  <c r="C45" i="2"/>
  <c r="B45" i="2"/>
  <c r="C44" i="2"/>
  <c r="B44" i="2"/>
  <c r="B43" i="2"/>
  <c r="D38" i="2"/>
  <c r="C38" i="2"/>
  <c r="B38" i="2"/>
  <c r="C37" i="2"/>
  <c r="B37" i="2"/>
  <c r="B36" i="2"/>
  <c r="D31" i="2"/>
  <c r="C31" i="2"/>
  <c r="B31" i="2"/>
  <c r="C30" i="2"/>
  <c r="B30" i="2"/>
  <c r="B29" i="2"/>
  <c r="D24" i="2"/>
  <c r="C24" i="2"/>
  <c r="B24" i="2"/>
  <c r="C23" i="2"/>
  <c r="B23" i="2"/>
  <c r="B22" i="2"/>
  <c r="D17" i="2"/>
  <c r="C17" i="2"/>
  <c r="B17" i="2"/>
  <c r="C16" i="2"/>
  <c r="B16" i="2"/>
  <c r="B15" i="2"/>
  <c r="H10" i="2"/>
  <c r="G10" i="2"/>
  <c r="F10" i="2"/>
  <c r="E10" i="2"/>
  <c r="D10" i="2"/>
  <c r="C10" i="2"/>
  <c r="B10" i="2"/>
  <c r="G9" i="2"/>
  <c r="F9" i="2"/>
  <c r="E9" i="2"/>
  <c r="D9" i="2"/>
  <c r="C9" i="2"/>
  <c r="B9" i="2"/>
  <c r="F8" i="2"/>
  <c r="E8" i="2"/>
  <c r="D8" i="2"/>
  <c r="C8" i="2"/>
  <c r="B8" i="2"/>
  <c r="E7" i="2"/>
  <c r="D7" i="2"/>
  <c r="C7" i="2"/>
  <c r="B7" i="2"/>
  <c r="D6" i="2"/>
  <c r="C6" i="2"/>
  <c r="B6" i="2"/>
  <c r="C5" i="2"/>
  <c r="B5" i="2"/>
  <c r="B4" i="2"/>
</calcChain>
</file>

<file path=xl/sharedStrings.xml><?xml version="1.0" encoding="utf-8"?>
<sst xmlns="http://schemas.openxmlformats.org/spreadsheetml/2006/main" count="198" uniqueCount="35">
  <si>
    <t>Criteria</t>
  </si>
  <si>
    <t>Pairwise comparison of criteria</t>
  </si>
  <si>
    <t>Alternatives</t>
  </si>
  <si>
    <t>Weight</t>
  </si>
  <si>
    <t>The Goal</t>
  </si>
  <si>
    <t>Finding new place</t>
  </si>
  <si>
    <t>n</t>
  </si>
  <si>
    <t>Random inconsistency</t>
  </si>
  <si>
    <t>Sum</t>
  </si>
  <si>
    <t>The score</t>
  </si>
  <si>
    <t>Total Inconsistency</t>
  </si>
  <si>
    <t>Inconsistency ratio</t>
  </si>
  <si>
    <t>Inconsistency threshold</t>
  </si>
  <si>
    <t>Goal Inconsistency Ratio</t>
  </si>
  <si>
    <t>Fiyat</t>
  </si>
  <si>
    <t>CO2</t>
  </si>
  <si>
    <t>Bagaj Hacmi</t>
  </si>
  <si>
    <t>Corolla</t>
  </si>
  <si>
    <t>Octavia</t>
  </si>
  <si>
    <t>Escort</t>
  </si>
  <si>
    <t>Jetta</t>
  </si>
  <si>
    <t>Beygir Gücü</t>
  </si>
  <si>
    <t>0-100 km Hızlanma</t>
  </si>
  <si>
    <t>Tüketim</t>
  </si>
  <si>
    <t>Maks. Hız</t>
  </si>
  <si>
    <t>Maks. Tork</t>
  </si>
  <si>
    <t>Pairwise comparison of alternatives based on CO2</t>
  </si>
  <si>
    <t>Pairwise comparison of alternatives based on Fiyat</t>
  </si>
  <si>
    <t>Pairwise comparison of alternatives based on Bagaj Hacmi</t>
  </si>
  <si>
    <t>Pairwise comparison of alternatives based on 0-100 km Hızlanma</t>
  </si>
  <si>
    <t>Pairwise comparison of alternatives based on Tüketim</t>
  </si>
  <si>
    <t>Pairwise comparison of alternatives based on Beygir Gücü</t>
  </si>
  <si>
    <t>Pairwise comparison of alternatives based on Maks. Hız</t>
  </si>
  <si>
    <t>Pairwise comparison of alternatives based on Maks. Tork</t>
  </si>
  <si>
    <t>Need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</si>
</sst>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rgb="FF002060"/>
      <name val="Calibri"/>
      <family val="2"/>
      <scheme val="minor"/>
    </font>
    <font>
      <b/>
      <sz val="10"/>
      <color rgb="FF00206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theme="7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7" tint="0.39997558519241921"/>
      </left>
      <right/>
      <top style="thin">
        <color theme="7" tint="0.39997558519241921"/>
      </top>
      <bottom style="thin">
        <color theme="7" tint="0.39997558519241921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1" xfId="0" applyNumberFormat="1" applyBorder="1" applyAlignment="1">
      <alignment horizontal="center"/>
    </xf>
    <xf numFmtId="0" fontId="2" fillId="3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164" fontId="1" fillId="4" borderId="1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0" fillId="5" borderId="2" xfId="0" applyFont="1" applyFill="1" applyBorder="1" applyAlignment="1">
      <alignment horizontal="left" vertical="center"/>
    </xf>
    <xf numFmtId="0" fontId="0" fillId="0" borderId="2" xfId="0" applyFont="1" applyBorder="1" applyAlignment="1">
      <alignment horizontal="left" vertical="center"/>
    </xf>
    <xf numFmtId="0" fontId="0" fillId="5" borderId="2" xfId="0" applyFont="1" applyFill="1" applyBorder="1" applyAlignment="1">
      <alignment horizontal="left" vertical="center" wrapText="1"/>
    </xf>
    <xf numFmtId="0" fontId="0" fillId="0" borderId="2" xfId="0" applyFont="1" applyBorder="1" applyAlignment="1">
      <alignment horizontal="left" vertical="center" wrapText="1"/>
    </xf>
  </cellXfs>
  <cellStyles count="1">
    <cellStyle name="Normal" xfId="0" builtinId="0"/>
  </cellStyles>
  <dxfs count="10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2060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2060"/>
        <name val="Calibri"/>
        <scheme val="minor"/>
      </font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D3F09"/>
      <color rgb="FFF37B0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1066800</xdr:colOff>
      <xdr:row>18</xdr:row>
      <xdr:rowOff>150718</xdr:rowOff>
    </xdr:from>
    <xdr:to>
      <xdr:col>0</xdr:col>
      <xdr:colOff>1714800</xdr:colOff>
      <xdr:row>22</xdr:row>
      <xdr:rowOff>36718</xdr:rowOff>
    </xdr:to>
    <xdr:sp macro="[0]!TotalCalculation" textlink="">
      <xdr:nvSpPr>
        <xdr:cNvPr id="3" name="Oval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066800" y="3684493"/>
          <a:ext cx="648000" cy="648000"/>
        </a:xfrm>
        <a:prstGeom prst="ellipse">
          <a:avLst/>
        </a:prstGeom>
        <a:solidFill>
          <a:schemeClr val="accent6">
            <a:lumMod val="5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1"/>
            <a:t>Analyze</a:t>
          </a:r>
        </a:p>
      </xdr:txBody>
    </xdr:sp>
    <xdr:clientData fPrintsWithSheet="0"/>
  </xdr:twoCellAnchor>
  <xdr:twoCellAnchor editAs="absolute">
    <xdr:from>
      <xdr:col>0</xdr:col>
      <xdr:colOff>66675</xdr:colOff>
      <xdr:row>13</xdr:row>
      <xdr:rowOff>160244</xdr:rowOff>
    </xdr:from>
    <xdr:to>
      <xdr:col>0</xdr:col>
      <xdr:colOff>1771650</xdr:colOff>
      <xdr:row>15</xdr:row>
      <xdr:rowOff>131669</xdr:rowOff>
    </xdr:to>
    <xdr:sp macro="[0]!CreatingPairwiseMatrix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6675" y="2743200"/>
          <a:ext cx="1704975" cy="352425"/>
        </a:xfrm>
        <a:prstGeom prst="rect">
          <a:avLst/>
        </a:prstGeom>
        <a:solidFill>
          <a:srgbClr val="00206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Generate Pairwise Matrices</a:t>
          </a:r>
        </a:p>
      </xdr:txBody>
    </xdr:sp>
    <xdr:clientData fPrintsWithSheet="0"/>
  </xdr:twoCellAnchor>
  <xdr:twoCellAnchor editAs="absolute">
    <xdr:from>
      <xdr:col>0</xdr:col>
      <xdr:colOff>66675</xdr:colOff>
      <xdr:row>16</xdr:row>
      <xdr:rowOff>17369</xdr:rowOff>
    </xdr:from>
    <xdr:to>
      <xdr:col>0</xdr:col>
      <xdr:colOff>1771650</xdr:colOff>
      <xdr:row>17</xdr:row>
      <xdr:rowOff>179294</xdr:rowOff>
    </xdr:to>
    <xdr:sp macro="[0]!DataEntryWizard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6675" y="3171825"/>
          <a:ext cx="1704975" cy="352425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/>
            <a:t>Data Entry Wizard</a:t>
          </a:r>
        </a:p>
      </xdr:txBody>
    </xdr:sp>
    <xdr:clientData fPrintsWithSheet="0"/>
  </xdr:twoCellAnchor>
  <xdr:twoCellAnchor editAs="absolute">
    <xdr:from>
      <xdr:col>0</xdr:col>
      <xdr:colOff>66675</xdr:colOff>
      <xdr:row>11</xdr:row>
      <xdr:rowOff>122144</xdr:rowOff>
    </xdr:from>
    <xdr:to>
      <xdr:col>0</xdr:col>
      <xdr:colOff>1771650</xdr:colOff>
      <xdr:row>13</xdr:row>
      <xdr:rowOff>93569</xdr:rowOff>
    </xdr:to>
    <xdr:sp macro="[0]!clearData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66675" y="2324100"/>
          <a:ext cx="1704975" cy="352425"/>
        </a:xfrm>
        <a:prstGeom prst="rect">
          <a:avLst/>
        </a:prstGeom>
        <a:solidFill>
          <a:srgbClr val="C0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/>
            <a:t>Clear previous data</a:t>
          </a:r>
        </a:p>
      </xdr:txBody>
    </xdr:sp>
    <xdr:clientData fPrintsWithSheet="0"/>
  </xdr:twoCellAnchor>
  <xdr:twoCellAnchor editAs="absolute">
    <xdr:from>
      <xdr:col>0</xdr:col>
      <xdr:colOff>114300</xdr:colOff>
      <xdr:row>18</xdr:row>
      <xdr:rowOff>150718</xdr:rowOff>
    </xdr:from>
    <xdr:to>
      <xdr:col>0</xdr:col>
      <xdr:colOff>762300</xdr:colOff>
      <xdr:row>22</xdr:row>
      <xdr:rowOff>36718</xdr:rowOff>
    </xdr:to>
    <xdr:sp macro="[0]!GetRaportpdf" textlink="">
      <xdr:nvSpPr>
        <xdr:cNvPr id="8" name="Oval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14300" y="3684493"/>
          <a:ext cx="648000" cy="648000"/>
        </a:xfrm>
        <a:prstGeom prst="ellipse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1"/>
            <a:t>Report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Alternatives" displayName="Alternatives" ref="C1:D5" totalsRowShown="0" headerRowDxfId="8" dataDxfId="7">
  <autoFilter ref="C1:D5" xr:uid="{00000000-0009-0000-0100-000002000000}"/>
  <tableColumns count="2">
    <tableColumn id="1" xr3:uid="{00000000-0010-0000-0000-000001000000}" name="Alternatives" dataDxfId="6"/>
    <tableColumn id="2" xr3:uid="{00000000-0010-0000-0000-000002000000}" name="The score" dataDxfId="5"/>
  </tableColumns>
  <tableStyleInfo name="TableStyleMedium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Criteria" displayName="Criteria" ref="F1:H9" totalsRowShown="0" headerRowDxfId="4" dataDxfId="3">
  <autoFilter ref="F1:H9" xr:uid="{00000000-0009-0000-0100-000003000000}"/>
  <tableColumns count="3">
    <tableColumn id="1" xr3:uid="{00000000-0010-0000-0100-000001000000}" name="Criteria" dataDxfId="2"/>
    <tableColumn id="3" xr3:uid="{00000000-0010-0000-0100-000003000000}" name="Weight" dataDxfId="1"/>
    <tableColumn id="2" xr3:uid="{00000000-0010-0000-0100-000002000000}" name="Inconsistency ratio" dataDxfId="0"/>
  </tableColumns>
  <tableStyleInfo name="TableStyleMedium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Randominconsistency" displayName="Randominconsistency" ref="A1:B17" totalsRowShown="0">
  <autoFilter ref="A1:B17" xr:uid="{00000000-0009-0000-0100-000001000000}"/>
  <tableColumns count="2">
    <tableColumn id="1" xr3:uid="{00000000-0010-0000-0200-000001000000}" name="n"/>
    <tableColumn id="2" xr3:uid="{00000000-0010-0000-0200-000002000000}" name="Random inconsistenc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0"/>
  <sheetViews>
    <sheetView tabSelected="1" view="pageLayout" zoomScaleNormal="100" workbookViewId="0">
      <selection activeCell="D20" sqref="D20"/>
    </sheetView>
  </sheetViews>
  <sheetFormatPr baseColWidth="10" defaultColWidth="8.83203125" defaultRowHeight="15" x14ac:dyDescent="0.2"/>
  <cols>
    <col min="1" max="1" width="25.33203125" bestFit="1" customWidth="1"/>
    <col min="2" max="2" width="2.1640625" customWidth="1"/>
    <col min="3" max="3" width="27.33203125" style="11" customWidth="1"/>
    <col min="4" max="4" width="19.33203125" style="3" customWidth="1"/>
    <col min="5" max="5" width="1.83203125" style="3" customWidth="1"/>
    <col min="6" max="6" width="23.6640625" style="11" customWidth="1"/>
    <col min="7" max="7" width="14.6640625" style="3" customWidth="1"/>
    <col min="8" max="8" width="19.33203125" style="3" customWidth="1"/>
    <col min="10" max="10" width="26.6640625" bestFit="1" customWidth="1"/>
    <col min="11" max="11" width="14.83203125" bestFit="1" customWidth="1"/>
  </cols>
  <sheetData>
    <row r="1" spans="1:8" ht="24" customHeight="1" x14ac:dyDescent="0.2">
      <c r="C1" s="12" t="s">
        <v>2</v>
      </c>
      <c r="D1" s="9" t="s">
        <v>9</v>
      </c>
      <c r="F1" s="13" t="s">
        <v>0</v>
      </c>
      <c r="G1" s="8" t="s">
        <v>3</v>
      </c>
      <c r="H1" s="10" t="s">
        <v>11</v>
      </c>
    </row>
    <row r="2" spans="1:8" ht="16" x14ac:dyDescent="0.2">
      <c r="A2" s="1" t="s">
        <v>4</v>
      </c>
      <c r="C2" s="3" t="s">
        <v>17</v>
      </c>
      <c r="D2" s="3">
        <v>0.27460394316967718</v>
      </c>
      <c r="F2" s="3" t="s">
        <v>14</v>
      </c>
      <c r="G2" s="3">
        <v>0.18981854838709675</v>
      </c>
      <c r="H2" s="3">
        <v>5.3836043811724731E-3</v>
      </c>
    </row>
    <row r="3" spans="1:8" x14ac:dyDescent="0.2">
      <c r="A3" s="2" t="s">
        <v>5</v>
      </c>
      <c r="C3" s="3" t="s">
        <v>18</v>
      </c>
      <c r="D3" s="3">
        <v>0.18222864358150895</v>
      </c>
      <c r="F3" s="3" t="s">
        <v>15</v>
      </c>
      <c r="G3" s="3">
        <v>0.10506552419354838</v>
      </c>
      <c r="H3" s="3">
        <v>2.2141063162747509E-2</v>
      </c>
    </row>
    <row r="4" spans="1:8" x14ac:dyDescent="0.2">
      <c r="C4" s="3" t="s">
        <v>19</v>
      </c>
      <c r="D4" s="3">
        <v>0.26163386833237445</v>
      </c>
      <c r="F4" s="3" t="s">
        <v>16</v>
      </c>
      <c r="G4" s="3">
        <v>6.2491599462365578E-2</v>
      </c>
      <c r="H4" s="3">
        <v>4.4024649918888707E-2</v>
      </c>
    </row>
    <row r="5" spans="1:8" ht="16" x14ac:dyDescent="0.2">
      <c r="A5" s="6" t="s">
        <v>12</v>
      </c>
      <c r="C5" s="3" t="s">
        <v>20</v>
      </c>
      <c r="D5" s="3">
        <v>0.28153354491643945</v>
      </c>
      <c r="F5" s="3" t="s">
        <v>22</v>
      </c>
      <c r="G5" s="3">
        <v>9.7370631720430104E-2</v>
      </c>
      <c r="H5" s="3">
        <v>6.5065651216655127E-2</v>
      </c>
    </row>
    <row r="6" spans="1:8" x14ac:dyDescent="0.2">
      <c r="A6" s="5">
        <v>0.1</v>
      </c>
      <c r="F6" s="3" t="s">
        <v>23</v>
      </c>
      <c r="G6" s="3">
        <v>0.1166280241935484</v>
      </c>
      <c r="H6" s="3">
        <v>4.4024649912640199E-2</v>
      </c>
    </row>
    <row r="7" spans="1:8" ht="16" x14ac:dyDescent="0.2">
      <c r="A7" s="7" t="s">
        <v>13</v>
      </c>
      <c r="F7" s="3" t="s">
        <v>21</v>
      </c>
      <c r="G7" s="3">
        <v>0.12462701612903224</v>
      </c>
      <c r="H7" s="3">
        <v>1.1496111908970791E-2</v>
      </c>
    </row>
    <row r="8" spans="1:8" ht="16" x14ac:dyDescent="0.2">
      <c r="A8" s="4">
        <v>0.12214606539406896</v>
      </c>
      <c r="F8" s="11" t="s">
        <v>24</v>
      </c>
      <c r="G8" s="3">
        <v>0.14737063172043013</v>
      </c>
      <c r="H8" s="3">
        <v>3.0138165292236486E-2</v>
      </c>
    </row>
    <row r="9" spans="1:8" ht="16" x14ac:dyDescent="0.2">
      <c r="A9" s="7" t="s">
        <v>10</v>
      </c>
      <c r="F9" s="11" t="s">
        <v>25</v>
      </c>
      <c r="G9" s="3">
        <v>0.15662802419354843</v>
      </c>
      <c r="H9" s="3">
        <v>1.6976565990353503E-2</v>
      </c>
    </row>
    <row r="10" spans="1:8" x14ac:dyDescent="0.2">
      <c r="A10" s="4">
        <v>8.4726512084829023E-2</v>
      </c>
    </row>
  </sheetData>
  <conditionalFormatting sqref="A10">
    <cfRule type="iconSet" priority="7">
      <iconSet iconSet="3Symbols" reverse="1">
        <cfvo type="percent" val="0"/>
        <cfvo type="num" val="$A$6*0.75"/>
        <cfvo type="num" val="$A$6" gte="0"/>
      </iconSet>
    </cfRule>
  </conditionalFormatting>
  <conditionalFormatting sqref="H2:H9">
    <cfRule type="cellIs" dxfId="9" priority="1" operator="greaterThan">
      <formula>$A$6</formula>
    </cfRule>
    <cfRule type="dataBar" priority="1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{87FFAEC2-4FE3-458B-8DF4-990D491EB343}</x14:id>
        </ext>
      </extLst>
    </cfRule>
  </conditionalFormatting>
  <conditionalFormatting sqref="D2:D5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{26914653-3ACA-40D4-9D4C-3E72CFE9E0DA}</x14:id>
        </ext>
      </extLst>
    </cfRule>
  </conditionalFormatting>
  <pageMargins left="0.23622047244094491" right="0.23622047244094491" top="0.74803149606299213" bottom="0.74803149606299213" header="0.31496062992125984" footer="0.31496062992125984"/>
  <pageSetup orientation="landscape" r:id="rId1"/>
  <headerFooter>
    <oddHeader>&amp;L&amp;"Times New Roman,Bold Italic"www.deyako.co.uk&amp;C&amp;"Times New Roman,Bold"&amp;16&amp;K002060AHP Analyzer&amp;R&amp;G</oddHeader>
    <oddFooter>&amp;L&amp;G&amp;CDeveloped by Deyako LTD company
All rights are reserved&amp;R&amp;"Times New Roman,Bold Italic"&amp;12wwww.deyako.co.uk</oddFooter>
  </headerFooter>
  <drawing r:id="rId2"/>
  <legacyDrawingHF r:id="rId3"/>
  <tableParts count="2">
    <tablePart r:id="rId4"/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FFAEC2-4FE3-458B-8DF4-990D491EB34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H2:H9</xm:sqref>
        </x14:conditionalFormatting>
        <x14:conditionalFormatting xmlns:xm="http://schemas.microsoft.com/office/excel/2006/main">
          <x14:cfRule type="dataBar" id="{26914653-3ACA-40D4-9D4C-3E72CFE9E0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D2:D5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67"/>
  <sheetViews>
    <sheetView zoomScale="90" zoomScaleNormal="90" workbookViewId="0">
      <selection activeCell="J24" sqref="J24"/>
    </sheetView>
  </sheetViews>
  <sheetFormatPr baseColWidth="10" defaultColWidth="8.83203125" defaultRowHeight="15" x14ac:dyDescent="0.2"/>
  <cols>
    <col min="1" max="1" width="58.5" bestFit="1" customWidth="1"/>
    <col min="4" max="4" width="11.6640625" bestFit="1" customWidth="1"/>
    <col min="5" max="5" width="10.33203125" bestFit="1" customWidth="1"/>
    <col min="16" max="16" width="11.33203125" bestFit="1" customWidth="1"/>
  </cols>
  <sheetData>
    <row r="1" spans="1:9" x14ac:dyDescent="0.2">
      <c r="A1" t="s">
        <v>1</v>
      </c>
    </row>
    <row r="2" spans="1:9" x14ac:dyDescent="0.2">
      <c r="B2" t="s">
        <v>14</v>
      </c>
      <c r="C2" t="s">
        <v>15</v>
      </c>
      <c r="D2" t="s">
        <v>16</v>
      </c>
      <c r="E2" t="s">
        <v>22</v>
      </c>
      <c r="F2" t="s">
        <v>23</v>
      </c>
      <c r="G2" t="s">
        <v>21</v>
      </c>
      <c r="H2" t="s">
        <v>24</v>
      </c>
      <c r="I2" t="s">
        <v>25</v>
      </c>
    </row>
    <row r="3" spans="1:9" x14ac:dyDescent="0.2">
      <c r="A3" s="14" t="s">
        <v>14</v>
      </c>
      <c r="B3">
        <v>1</v>
      </c>
      <c r="C3" t="s">
        <v>34</v>
      </c>
      <c r="D3" t="s">
        <v>34</v>
      </c>
      <c r="E3" t="s">
        <v>34</v>
      </c>
      <c r="F3" t="s">
        <v>34</v>
      </c>
      <c r="G3" t="s">
        <v>34</v>
      </c>
      <c r="H3" t="s">
        <v>34</v>
      </c>
      <c r="I3" t="s">
        <v>34</v>
      </c>
    </row>
    <row r="4" spans="1:9" x14ac:dyDescent="0.2">
      <c r="A4" s="15" t="s">
        <v>15</v>
      </c>
      <c r="B4">
        <f>IFERROR(1/$C$3,1)</f>
        <v>1</v>
      </c>
      <c r="C4">
        <v>1</v>
      </c>
      <c r="D4" t="s">
        <v>34</v>
      </c>
      <c r="E4" t="s">
        <v>34</v>
      </c>
      <c r="F4" t="s">
        <v>34</v>
      </c>
      <c r="G4" t="s">
        <v>34</v>
      </c>
      <c r="H4" t="s">
        <v>34</v>
      </c>
      <c r="I4" t="s">
        <v>34</v>
      </c>
    </row>
    <row r="5" spans="1:9" x14ac:dyDescent="0.2">
      <c r="A5" s="14" t="s">
        <v>16</v>
      </c>
      <c r="B5">
        <f>IFERROR(1/$D$3,1)</f>
        <v>1</v>
      </c>
      <c r="C5">
        <f>IFERROR(1/$D$4,1)</f>
        <v>1</v>
      </c>
      <c r="D5">
        <v>1</v>
      </c>
      <c r="E5" t="s">
        <v>34</v>
      </c>
      <c r="F5" t="s">
        <v>34</v>
      </c>
      <c r="G5" t="s">
        <v>34</v>
      </c>
      <c r="H5" t="s">
        <v>34</v>
      </c>
      <c r="I5" t="s">
        <v>34</v>
      </c>
    </row>
    <row r="6" spans="1:9" x14ac:dyDescent="0.2">
      <c r="A6" s="15" t="s">
        <v>22</v>
      </c>
      <c r="B6">
        <f>IFERROR(1/$E$3,1)</f>
        <v>1</v>
      </c>
      <c r="C6">
        <f>IFERROR(1/$E$4,1)</f>
        <v>1</v>
      </c>
      <c r="D6">
        <f>IFERROR(1/$E$5,1)</f>
        <v>1</v>
      </c>
      <c r="E6">
        <v>1</v>
      </c>
      <c r="F6" t="s">
        <v>34</v>
      </c>
      <c r="G6" t="s">
        <v>34</v>
      </c>
      <c r="H6" t="s">
        <v>34</v>
      </c>
      <c r="I6" t="s">
        <v>34</v>
      </c>
    </row>
    <row r="7" spans="1:9" x14ac:dyDescent="0.2">
      <c r="A7" s="14" t="s">
        <v>23</v>
      </c>
      <c r="B7">
        <f>IFERROR(1/$F$3,1)</f>
        <v>1</v>
      </c>
      <c r="C7">
        <f>IFERROR(1/$F$4,1)</f>
        <v>1</v>
      </c>
      <c r="D7">
        <f>IFERROR(1/$F$5,1)</f>
        <v>1</v>
      </c>
      <c r="E7">
        <f>IFERROR(1/$F$6,1)</f>
        <v>1</v>
      </c>
      <c r="F7">
        <v>1</v>
      </c>
      <c r="G7" t="s">
        <v>34</v>
      </c>
      <c r="H7" t="s">
        <v>34</v>
      </c>
      <c r="I7" t="s">
        <v>34</v>
      </c>
    </row>
    <row r="8" spans="1:9" x14ac:dyDescent="0.2">
      <c r="A8" s="15" t="s">
        <v>21</v>
      </c>
      <c r="B8">
        <f>IFERROR(1/$G$3,1)</f>
        <v>1</v>
      </c>
      <c r="C8">
        <f>IFERROR(1/$G$4,1)</f>
        <v>1</v>
      </c>
      <c r="D8">
        <f>IFERROR(1/$G$5,1)</f>
        <v>1</v>
      </c>
      <c r="E8">
        <f>IFERROR(1/$G$6,1)</f>
        <v>1</v>
      </c>
      <c r="F8">
        <f>IFERROR(1/$G$7,1)</f>
        <v>1</v>
      </c>
      <c r="G8">
        <v>1</v>
      </c>
      <c r="H8" t="s">
        <v>34</v>
      </c>
      <c r="I8" t="s">
        <v>34</v>
      </c>
    </row>
    <row r="9" spans="1:9" ht="16" x14ac:dyDescent="0.2">
      <c r="A9" s="16" t="s">
        <v>24</v>
      </c>
      <c r="B9">
        <f>IFERROR(1/$H$3,1)</f>
        <v>1</v>
      </c>
      <c r="C9">
        <f>IFERROR(1/$H$4,1)</f>
        <v>1</v>
      </c>
      <c r="D9">
        <f>IFERROR(1/$H$5,1)</f>
        <v>1</v>
      </c>
      <c r="E9">
        <f>IFERROR(1/$H$6,1)</f>
        <v>1</v>
      </c>
      <c r="F9">
        <f>IFERROR(1/$H$7,1)</f>
        <v>1</v>
      </c>
      <c r="G9">
        <f>IFERROR(1/$H$8,1)</f>
        <v>1</v>
      </c>
      <c r="H9">
        <v>1</v>
      </c>
      <c r="I9" t="s">
        <v>34</v>
      </c>
    </row>
    <row r="10" spans="1:9" ht="16" x14ac:dyDescent="0.2">
      <c r="A10" s="17" t="s">
        <v>25</v>
      </c>
      <c r="B10">
        <f>IFERROR(1/$I$3,1)</f>
        <v>1</v>
      </c>
      <c r="C10">
        <f>IFERROR(1/$I$4,1)</f>
        <v>1</v>
      </c>
      <c r="D10">
        <f>IFERROR(1/$I$5,1)</f>
        <v>1</v>
      </c>
      <c r="E10">
        <f>IFERROR(1/$I$6,1)</f>
        <v>1</v>
      </c>
      <c r="F10">
        <f>IFERROR(1/$I$7,1)</f>
        <v>1</v>
      </c>
      <c r="G10">
        <f>IFERROR(1/$I$8,1)</f>
        <v>1</v>
      </c>
      <c r="H10">
        <f>IFERROR(1/$I$9,1)</f>
        <v>1</v>
      </c>
      <c r="I10">
        <v>1</v>
      </c>
    </row>
    <row r="11" spans="1:9" x14ac:dyDescent="0.2">
      <c r="A11" t="s">
        <v>8</v>
      </c>
    </row>
    <row r="12" spans="1:9" x14ac:dyDescent="0.2">
      <c r="A12" t="s">
        <v>27</v>
      </c>
    </row>
    <row r="13" spans="1:9" x14ac:dyDescent="0.2">
      <c r="B13" t="s">
        <v>17</v>
      </c>
      <c r="C13" t="s">
        <v>18</v>
      </c>
      <c r="D13" t="s">
        <v>19</v>
      </c>
      <c r="E13" t="s">
        <v>20</v>
      </c>
    </row>
    <row r="14" spans="1:9" x14ac:dyDescent="0.2">
      <c r="A14" t="s">
        <v>17</v>
      </c>
      <c r="B14">
        <v>1</v>
      </c>
      <c r="C14" t="s">
        <v>34</v>
      </c>
      <c r="D14" t="s">
        <v>34</v>
      </c>
      <c r="E14" t="s">
        <v>34</v>
      </c>
    </row>
    <row r="15" spans="1:9" x14ac:dyDescent="0.2">
      <c r="A15" t="s">
        <v>18</v>
      </c>
      <c r="B15">
        <f>IFERROR(1/$C$14,1)</f>
        <v>1</v>
      </c>
      <c r="C15">
        <v>1</v>
      </c>
      <c r="D15" t="s">
        <v>34</v>
      </c>
      <c r="E15" t="s">
        <v>34</v>
      </c>
    </row>
    <row r="16" spans="1:9" x14ac:dyDescent="0.2">
      <c r="A16" t="s">
        <v>19</v>
      </c>
      <c r="B16">
        <f>IFERROR(1/$D$14,1)</f>
        <v>1</v>
      </c>
      <c r="C16">
        <f>IFERROR(1/$D$15,1)</f>
        <v>1</v>
      </c>
      <c r="D16">
        <v>1</v>
      </c>
      <c r="E16" t="s">
        <v>34</v>
      </c>
    </row>
    <row r="17" spans="1:5" x14ac:dyDescent="0.2">
      <c r="A17" t="s">
        <v>20</v>
      </c>
      <c r="B17">
        <f>IFERROR(1/$E$14,1)</f>
        <v>1</v>
      </c>
      <c r="C17">
        <f>IFERROR(1/$E$15,1)</f>
        <v>1</v>
      </c>
      <c r="D17">
        <f>IFERROR(1/$E$16,1)</f>
        <v>1</v>
      </c>
      <c r="E17">
        <v>1</v>
      </c>
    </row>
    <row r="18" spans="1:5" x14ac:dyDescent="0.2">
      <c r="A18" t="s">
        <v>8</v>
      </c>
    </row>
    <row r="19" spans="1:5" x14ac:dyDescent="0.2">
      <c r="A19" t="s">
        <v>26</v>
      </c>
    </row>
    <row r="20" spans="1:5" x14ac:dyDescent="0.2">
      <c r="B20" t="s">
        <v>17</v>
      </c>
      <c r="C20" t="s">
        <v>18</v>
      </c>
      <c r="D20" t="s">
        <v>19</v>
      </c>
      <c r="E20" t="s">
        <v>20</v>
      </c>
    </row>
    <row r="21" spans="1:5" x14ac:dyDescent="0.2">
      <c r="A21" t="s">
        <v>17</v>
      </c>
      <c r="B21">
        <v>1</v>
      </c>
      <c r="C21" t="s">
        <v>34</v>
      </c>
      <c r="D21" t="s">
        <v>34</v>
      </c>
      <c r="E21" t="s">
        <v>34</v>
      </c>
    </row>
    <row r="22" spans="1:5" x14ac:dyDescent="0.2">
      <c r="A22" t="s">
        <v>18</v>
      </c>
      <c r="B22">
        <f>IFERROR(1/$C$21,1)</f>
        <v>1</v>
      </c>
      <c r="C22">
        <v>1</v>
      </c>
      <c r="D22" t="s">
        <v>34</v>
      </c>
      <c r="E22" t="s">
        <v>34</v>
      </c>
    </row>
    <row r="23" spans="1:5" x14ac:dyDescent="0.2">
      <c r="A23" t="s">
        <v>19</v>
      </c>
      <c r="B23">
        <f>IFERROR(1/$D$21,1)</f>
        <v>1</v>
      </c>
      <c r="C23">
        <f>IFERROR(1/$D$22,1)</f>
        <v>1</v>
      </c>
      <c r="D23">
        <v>1</v>
      </c>
      <c r="E23" t="s">
        <v>34</v>
      </c>
    </row>
    <row r="24" spans="1:5" x14ac:dyDescent="0.2">
      <c r="A24" t="s">
        <v>20</v>
      </c>
      <c r="B24">
        <f>IFERROR(1/$E$21,1)</f>
        <v>1</v>
      </c>
      <c r="C24">
        <f>IFERROR(1/$E$22,1)</f>
        <v>1</v>
      </c>
      <c r="D24">
        <f>IFERROR(1/$E$23,1)</f>
        <v>1</v>
      </c>
      <c r="E24">
        <v>1</v>
      </c>
    </row>
    <row r="25" spans="1:5" x14ac:dyDescent="0.2">
      <c r="A25" t="s">
        <v>8</v>
      </c>
    </row>
    <row r="26" spans="1:5" x14ac:dyDescent="0.2">
      <c r="A26" t="s">
        <v>28</v>
      </c>
    </row>
    <row r="27" spans="1:5" x14ac:dyDescent="0.2">
      <c r="B27" t="s">
        <v>17</v>
      </c>
      <c r="C27" t="s">
        <v>18</v>
      </c>
      <c r="D27" t="s">
        <v>19</v>
      </c>
      <c r="E27" t="s">
        <v>20</v>
      </c>
    </row>
    <row r="28" spans="1:5" x14ac:dyDescent="0.2">
      <c r="A28" t="s">
        <v>17</v>
      </c>
      <c r="B28">
        <v>1</v>
      </c>
      <c r="C28" t="s">
        <v>34</v>
      </c>
      <c r="D28" t="s">
        <v>34</v>
      </c>
      <c r="E28" t="s">
        <v>34</v>
      </c>
    </row>
    <row r="29" spans="1:5" x14ac:dyDescent="0.2">
      <c r="A29" t="s">
        <v>18</v>
      </c>
      <c r="B29">
        <f>IFERROR(1/$C$28,1)</f>
        <v>1</v>
      </c>
      <c r="C29">
        <v>1</v>
      </c>
      <c r="D29" t="s">
        <v>34</v>
      </c>
      <c r="E29" t="s">
        <v>34</v>
      </c>
    </row>
    <row r="30" spans="1:5" x14ac:dyDescent="0.2">
      <c r="A30" t="s">
        <v>19</v>
      </c>
      <c r="B30">
        <f>IFERROR(1/$D$28,1)</f>
        <v>1</v>
      </c>
      <c r="C30">
        <f>IFERROR(1/$D$29,1)</f>
        <v>1</v>
      </c>
      <c r="D30">
        <v>1</v>
      </c>
      <c r="E30" t="s">
        <v>34</v>
      </c>
    </row>
    <row r="31" spans="1:5" x14ac:dyDescent="0.2">
      <c r="A31" t="s">
        <v>20</v>
      </c>
      <c r="B31">
        <f>IFERROR(1/$E$28,1)</f>
        <v>1</v>
      </c>
      <c r="C31">
        <f>IFERROR(1/$E$29,1)</f>
        <v>1</v>
      </c>
      <c r="D31">
        <f>IFERROR(1/$E$30,1)</f>
        <v>1</v>
      </c>
      <c r="E31">
        <v>1</v>
      </c>
    </row>
    <row r="32" spans="1:5" x14ac:dyDescent="0.2">
      <c r="A32" t="s">
        <v>8</v>
      </c>
    </row>
    <row r="33" spans="1:5" x14ac:dyDescent="0.2">
      <c r="A33" t="s">
        <v>29</v>
      </c>
    </row>
    <row r="34" spans="1:5" x14ac:dyDescent="0.2">
      <c r="B34" t="s">
        <v>17</v>
      </c>
      <c r="C34" t="s">
        <v>18</v>
      </c>
      <c r="D34" t="s">
        <v>19</v>
      </c>
      <c r="E34" t="s">
        <v>20</v>
      </c>
    </row>
    <row r="35" spans="1:5" x14ac:dyDescent="0.2">
      <c r="A35" t="s">
        <v>17</v>
      </c>
      <c r="B35">
        <v>1</v>
      </c>
      <c r="C35" t="s">
        <v>34</v>
      </c>
      <c r="D35" t="s">
        <v>34</v>
      </c>
      <c r="E35" t="s">
        <v>34</v>
      </c>
    </row>
    <row r="36" spans="1:5" x14ac:dyDescent="0.2">
      <c r="A36" t="s">
        <v>18</v>
      </c>
      <c r="B36">
        <f>IFERROR(1/$C$35,1)</f>
        <v>1</v>
      </c>
      <c r="C36">
        <v>1</v>
      </c>
      <c r="D36" t="s">
        <v>34</v>
      </c>
      <c r="E36" t="s">
        <v>34</v>
      </c>
    </row>
    <row r="37" spans="1:5" x14ac:dyDescent="0.2">
      <c r="A37" t="s">
        <v>19</v>
      </c>
      <c r="B37">
        <f>IFERROR(1/$D$35,1)</f>
        <v>1</v>
      </c>
      <c r="C37">
        <f>IFERROR(1/$D$36,1)</f>
        <v>1</v>
      </c>
      <c r="D37">
        <v>1</v>
      </c>
      <c r="E37" t="s">
        <v>34</v>
      </c>
    </row>
    <row r="38" spans="1:5" x14ac:dyDescent="0.2">
      <c r="A38" t="s">
        <v>20</v>
      </c>
      <c r="B38">
        <f>IFERROR(1/$E$35,1)</f>
        <v>1</v>
      </c>
      <c r="C38">
        <f>IFERROR(1/$E$36,1)</f>
        <v>1</v>
      </c>
      <c r="D38">
        <f>IFERROR(1/$E$37,1)</f>
        <v>1</v>
      </c>
      <c r="E38">
        <v>1</v>
      </c>
    </row>
    <row r="39" spans="1:5" x14ac:dyDescent="0.2">
      <c r="A39" t="s">
        <v>8</v>
      </c>
    </row>
    <row r="40" spans="1:5" x14ac:dyDescent="0.2">
      <c r="A40" t="s">
        <v>30</v>
      </c>
    </row>
    <row r="41" spans="1:5" x14ac:dyDescent="0.2">
      <c r="B41" t="s">
        <v>17</v>
      </c>
      <c r="C41" t="s">
        <v>18</v>
      </c>
      <c r="D41" t="s">
        <v>19</v>
      </c>
      <c r="E41" t="s">
        <v>20</v>
      </c>
    </row>
    <row r="42" spans="1:5" x14ac:dyDescent="0.2">
      <c r="A42" t="s">
        <v>17</v>
      </c>
      <c r="B42">
        <v>1</v>
      </c>
      <c r="C42" t="s">
        <v>34</v>
      </c>
      <c r="D42" t="s">
        <v>34</v>
      </c>
      <c r="E42" t="s">
        <v>34</v>
      </c>
    </row>
    <row r="43" spans="1:5" x14ac:dyDescent="0.2">
      <c r="A43" t="s">
        <v>18</v>
      </c>
      <c r="B43">
        <f>IFERROR(1/$C$42,1)</f>
        <v>1</v>
      </c>
      <c r="C43">
        <v>1</v>
      </c>
      <c r="D43" t="s">
        <v>34</v>
      </c>
      <c r="E43" t="s">
        <v>34</v>
      </c>
    </row>
    <row r="44" spans="1:5" x14ac:dyDescent="0.2">
      <c r="A44" t="s">
        <v>19</v>
      </c>
      <c r="B44">
        <f>IFERROR(1/$D$42,1)</f>
        <v>1</v>
      </c>
      <c r="C44">
        <f>IFERROR(1/$D$43,1)</f>
        <v>1</v>
      </c>
      <c r="D44">
        <v>1</v>
      </c>
      <c r="E44" t="s">
        <v>34</v>
      </c>
    </row>
    <row r="45" spans="1:5" x14ac:dyDescent="0.2">
      <c r="A45" t="s">
        <v>20</v>
      </c>
      <c r="B45">
        <f>IFERROR(1/$E$42,1)</f>
        <v>1</v>
      </c>
      <c r="C45">
        <f>IFERROR(1/$E$43,1)</f>
        <v>1</v>
      </c>
      <c r="D45">
        <f>IFERROR(1/$E$44,1)</f>
        <v>1</v>
      </c>
      <c r="E45">
        <v>1</v>
      </c>
    </row>
    <row r="46" spans="1:5" x14ac:dyDescent="0.2">
      <c r="A46" t="s">
        <v>8</v>
      </c>
    </row>
    <row r="47" spans="1:5" x14ac:dyDescent="0.2">
      <c r="A47" t="s">
        <v>31</v>
      </c>
    </row>
    <row r="48" spans="1:5" x14ac:dyDescent="0.2">
      <c r="B48" t="s">
        <v>17</v>
      </c>
      <c r="C48" t="s">
        <v>18</v>
      </c>
      <c r="D48" t="s">
        <v>19</v>
      </c>
      <c r="E48" t="s">
        <v>20</v>
      </c>
    </row>
    <row r="49" spans="1:5" x14ac:dyDescent="0.2">
      <c r="A49" t="s">
        <v>17</v>
      </c>
      <c r="B49">
        <v>1</v>
      </c>
      <c r="C49" t="s">
        <v>34</v>
      </c>
      <c r="D49" t="s">
        <v>34</v>
      </c>
      <c r="E49" t="s">
        <v>34</v>
      </c>
    </row>
    <row r="50" spans="1:5" x14ac:dyDescent="0.2">
      <c r="A50" t="s">
        <v>18</v>
      </c>
      <c r="B50">
        <f>IFERROR(1/$C$49,1)</f>
        <v>1</v>
      </c>
      <c r="C50">
        <v>1</v>
      </c>
      <c r="D50" t="s">
        <v>34</v>
      </c>
      <c r="E50" t="s">
        <v>34</v>
      </c>
    </row>
    <row r="51" spans="1:5" x14ac:dyDescent="0.2">
      <c r="A51" t="s">
        <v>19</v>
      </c>
      <c r="B51">
        <f>IFERROR(1/$D$49,1)</f>
        <v>1</v>
      </c>
      <c r="C51">
        <f>IFERROR(1/$D$50,1)</f>
        <v>1</v>
      </c>
      <c r="D51">
        <v>1</v>
      </c>
      <c r="E51" t="s">
        <v>34</v>
      </c>
    </row>
    <row r="52" spans="1:5" x14ac:dyDescent="0.2">
      <c r="A52" t="s">
        <v>20</v>
      </c>
      <c r="B52">
        <f>IFERROR(1/$E$49,1)</f>
        <v>1</v>
      </c>
      <c r="C52">
        <f>IFERROR(1/$E$50,1)</f>
        <v>1</v>
      </c>
      <c r="D52">
        <f>IFERROR(1/$E$51,1)</f>
        <v>1</v>
      </c>
      <c r="E52">
        <v>1</v>
      </c>
    </row>
    <row r="53" spans="1:5" x14ac:dyDescent="0.2">
      <c r="A53" t="s">
        <v>8</v>
      </c>
    </row>
    <row r="54" spans="1:5" x14ac:dyDescent="0.2">
      <c r="A54" t="s">
        <v>32</v>
      </c>
    </row>
    <row r="55" spans="1:5" x14ac:dyDescent="0.2">
      <c r="B55" t="s">
        <v>17</v>
      </c>
      <c r="C55" t="s">
        <v>18</v>
      </c>
      <c r="D55" t="s">
        <v>19</v>
      </c>
      <c r="E55" t="s">
        <v>20</v>
      </c>
    </row>
    <row r="56" spans="1:5" x14ac:dyDescent="0.2">
      <c r="A56" t="s">
        <v>17</v>
      </c>
      <c r="B56">
        <v>1</v>
      </c>
      <c r="C56" t="s">
        <v>34</v>
      </c>
      <c r="D56" t="s">
        <v>34</v>
      </c>
      <c r="E56" t="s">
        <v>34</v>
      </c>
    </row>
    <row r="57" spans="1:5" x14ac:dyDescent="0.2">
      <c r="A57" t="s">
        <v>18</v>
      </c>
      <c r="B57">
        <f>IFERROR(1/$C$56,1)</f>
        <v>1</v>
      </c>
      <c r="C57">
        <v>1</v>
      </c>
      <c r="D57" t="s">
        <v>34</v>
      </c>
      <c r="E57" t="s">
        <v>34</v>
      </c>
    </row>
    <row r="58" spans="1:5" x14ac:dyDescent="0.2">
      <c r="A58" t="s">
        <v>19</v>
      </c>
      <c r="B58">
        <f>IFERROR(1/$D$56,1)</f>
        <v>1</v>
      </c>
      <c r="C58">
        <f>IFERROR(1/$D$57,1)</f>
        <v>1</v>
      </c>
      <c r="D58">
        <v>1</v>
      </c>
      <c r="E58" t="s">
        <v>34</v>
      </c>
    </row>
    <row r="59" spans="1:5" x14ac:dyDescent="0.2">
      <c r="A59" t="s">
        <v>20</v>
      </c>
      <c r="B59">
        <f>IFERROR(1/$E$56,1)</f>
        <v>1</v>
      </c>
      <c r="C59">
        <f>IFERROR(1/$E$57,1)</f>
        <v>1</v>
      </c>
      <c r="D59">
        <f>IFERROR(1/$E$58,1)</f>
        <v>1</v>
      </c>
      <c r="E59">
        <v>1</v>
      </c>
    </row>
    <row r="60" spans="1:5" x14ac:dyDescent="0.2">
      <c r="A60" t="s">
        <v>8</v>
      </c>
    </row>
    <row r="61" spans="1:5" x14ac:dyDescent="0.2">
      <c r="A61" t="s">
        <v>33</v>
      </c>
    </row>
    <row r="62" spans="1:5" x14ac:dyDescent="0.2">
      <c r="B62" t="s">
        <v>17</v>
      </c>
      <c r="C62" t="s">
        <v>18</v>
      </c>
      <c r="D62" t="s">
        <v>19</v>
      </c>
      <c r="E62" t="s">
        <v>20</v>
      </c>
    </row>
    <row r="63" spans="1:5" x14ac:dyDescent="0.2">
      <c r="A63" t="s">
        <v>17</v>
      </c>
      <c r="B63">
        <v>1</v>
      </c>
      <c r="C63" t="s">
        <v>34</v>
      </c>
      <c r="D63" t="s">
        <v>34</v>
      </c>
      <c r="E63" t="s">
        <v>34</v>
      </c>
    </row>
    <row r="64" spans="1:5" x14ac:dyDescent="0.2">
      <c r="A64" t="s">
        <v>18</v>
      </c>
      <c r="B64">
        <f>IFERROR(1/$C$63,1)</f>
        <v>1</v>
      </c>
      <c r="C64">
        <v>1</v>
      </c>
      <c r="D64" t="s">
        <v>34</v>
      </c>
      <c r="E64" t="s">
        <v>34</v>
      </c>
    </row>
    <row r="65" spans="1:5" x14ac:dyDescent="0.2">
      <c r="A65" t="s">
        <v>19</v>
      </c>
      <c r="B65">
        <f>IFERROR(1/$D$63,1)</f>
        <v>1</v>
      </c>
      <c r="C65">
        <f>IFERROR(1/$D$64,1)</f>
        <v>1</v>
      </c>
      <c r="D65">
        <v>1</v>
      </c>
      <c r="E65" t="s">
        <v>34</v>
      </c>
    </row>
    <row r="66" spans="1:5" x14ac:dyDescent="0.2">
      <c r="A66" t="s">
        <v>20</v>
      </c>
      <c r="B66">
        <f>IFERROR(1/$E$63,1)</f>
        <v>1</v>
      </c>
      <c r="C66">
        <f>IFERROR(1/$E$64,1)</f>
        <v>1</v>
      </c>
      <c r="D66">
        <f>IFERROR(1/$E$65,1)</f>
        <v>1</v>
      </c>
      <c r="E66">
        <v>1</v>
      </c>
    </row>
    <row r="67" spans="1:5" x14ac:dyDescent="0.2">
      <c r="A67" t="s">
        <v>8</v>
      </c>
    </row>
  </sheetData>
  <dataValidations count="2">
    <dataValidation type="decimal" showInputMessage="1" showErrorMessage="1" errorTitle="Error - www.deyako.co.uk" error="Enter just Number (1 to 9)" promptTitle="Fill Cell with Number (1 to 9)" sqref="C75 C33 C39 C45 C51 C57 C69 D58 D75:D76 C27:D27 D33:D34 D39:D40 D45:D46 D51:D52 D69:D70" xr:uid="{00000000-0002-0000-0100-000000000000}">
      <formula1>1</formula1>
      <formula2>9</formula2>
    </dataValidation>
    <dataValidation type="decimal" showInputMessage="1" showErrorMessage="1" errorTitle="Error - www.deyako.co.uk" error="Enter just Number (0 to 9)" promptTitle="Fill Cell with Number (0 to 9)" sqref="D16:D19 C9:C10 E9:E12 D23:D25 C22:C24 C15:C16 D31 C12 C18 D9:D13 E65 D64:E64 C63:E63 E58 D57:E57 C56:E56 E51 D50:E50 C49:E49 E44 D43:E43 C42:E42 D37:E37 C35:E36 C30:E30 D29:E29 C28:E28 E23:E26 D22:E22 C21:E21 E16:E18 D15:E15 C14:E14 I9 H8:I8 G7:I7 F6:I6 E5:I5 D4:I4 C3:I3" xr:uid="{00000000-0002-0000-0100-000003000000}">
      <formula1>0.000000000000001</formula1>
      <formula2>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B17"/>
  <sheetViews>
    <sheetView workbookViewId="0">
      <selection activeCell="A17" sqref="A17"/>
    </sheetView>
  </sheetViews>
  <sheetFormatPr baseColWidth="10" defaultColWidth="8.83203125" defaultRowHeight="15" x14ac:dyDescent="0.2"/>
  <cols>
    <col min="2" max="2" width="22.83203125" customWidth="1"/>
  </cols>
  <sheetData>
    <row r="1" spans="1:2" x14ac:dyDescent="0.2">
      <c r="A1" t="s">
        <v>6</v>
      </c>
      <c r="B1" t="s">
        <v>7</v>
      </c>
    </row>
    <row r="2" spans="1:2" x14ac:dyDescent="0.2">
      <c r="A2">
        <v>1</v>
      </c>
      <c r="B2">
        <v>0</v>
      </c>
    </row>
    <row r="3" spans="1:2" x14ac:dyDescent="0.2">
      <c r="A3">
        <v>2</v>
      </c>
      <c r="B3">
        <v>0</v>
      </c>
    </row>
    <row r="4" spans="1:2" x14ac:dyDescent="0.2">
      <c r="A4">
        <v>3</v>
      </c>
      <c r="B4">
        <v>0.57999999999999996</v>
      </c>
    </row>
    <row r="5" spans="1:2" x14ac:dyDescent="0.2">
      <c r="A5">
        <v>4</v>
      </c>
      <c r="B5">
        <v>0.9</v>
      </c>
    </row>
    <row r="6" spans="1:2" x14ac:dyDescent="0.2">
      <c r="A6">
        <v>5</v>
      </c>
      <c r="B6">
        <v>1.1200000000000001</v>
      </c>
    </row>
    <row r="7" spans="1:2" x14ac:dyDescent="0.2">
      <c r="A7">
        <v>6</v>
      </c>
      <c r="B7">
        <v>1.24</v>
      </c>
    </row>
    <row r="8" spans="1:2" x14ac:dyDescent="0.2">
      <c r="A8">
        <v>7</v>
      </c>
      <c r="B8">
        <v>1.32</v>
      </c>
    </row>
    <row r="9" spans="1:2" x14ac:dyDescent="0.2">
      <c r="A9">
        <v>8</v>
      </c>
      <c r="B9">
        <v>1.41</v>
      </c>
    </row>
    <row r="10" spans="1:2" x14ac:dyDescent="0.2">
      <c r="A10">
        <v>9</v>
      </c>
      <c r="B10">
        <v>1.45</v>
      </c>
    </row>
    <row r="11" spans="1:2" x14ac:dyDescent="0.2">
      <c r="A11">
        <v>10</v>
      </c>
      <c r="B11">
        <v>1.49</v>
      </c>
    </row>
    <row r="12" spans="1:2" x14ac:dyDescent="0.2">
      <c r="A12">
        <v>11</v>
      </c>
      <c r="B12">
        <v>1.51</v>
      </c>
    </row>
    <row r="13" spans="1:2" x14ac:dyDescent="0.2">
      <c r="A13">
        <v>12</v>
      </c>
      <c r="B13">
        <v>1.53</v>
      </c>
    </row>
    <row r="14" spans="1:2" x14ac:dyDescent="0.2">
      <c r="A14">
        <v>13</v>
      </c>
      <c r="B14">
        <v>1.56</v>
      </c>
    </row>
    <row r="15" spans="1:2" x14ac:dyDescent="0.2">
      <c r="A15">
        <v>14</v>
      </c>
      <c r="B15">
        <v>1.57</v>
      </c>
    </row>
    <row r="16" spans="1:2" x14ac:dyDescent="0.2">
      <c r="A16">
        <v>15</v>
      </c>
      <c r="B16">
        <v>1.59</v>
      </c>
    </row>
    <row r="17" spans="1:2" x14ac:dyDescent="0.2">
      <c r="A17">
        <v>16</v>
      </c>
      <c r="B17">
        <v>1.6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Control Panel</vt:lpstr>
      <vt:lpstr>Pairwise Comparison</vt:lpstr>
      <vt:lpstr>Data</vt:lpstr>
      <vt:lpstr>'Control Panel'!Print_Titles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Armin Keshavarzi</dc:creator>
  <cp:lastModifiedBy>Microsoft Office User</cp:lastModifiedBy>
  <cp:lastPrinted>2019-01-27T14:47:09Z</cp:lastPrinted>
  <dcterms:created xsi:type="dcterms:W3CDTF">2019-01-23T13:07:19Z</dcterms:created>
  <dcterms:modified xsi:type="dcterms:W3CDTF">2022-11-16T08:37:40Z</dcterms:modified>
</cp:coreProperties>
</file>