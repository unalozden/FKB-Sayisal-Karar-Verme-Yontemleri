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nalozden/pCloud Drive/Belgeler/GitHub/FKB-Nicel-Karar-Verme-Yontemleri/"/>
    </mc:Choice>
  </mc:AlternateContent>
  <xr:revisionPtr revIDLastSave="0" documentId="13_ncr:1_{C091B35D-80A3-FD49-BE04-548934E8E538}" xr6:coauthVersionLast="47" xr6:coauthVersionMax="47" xr10:uidLastSave="{00000000-0000-0000-0000-000000000000}"/>
  <bookViews>
    <workbookView xWindow="0" yWindow="500" windowWidth="23620" windowHeight="15360" xr2:uid="{00000000-000D-0000-FFFF-FFFF00000000}"/>
  </bookViews>
  <sheets>
    <sheet name="Control Panel" sheetId="1" r:id="rId1"/>
    <sheet name="Pairwise Comparison" sheetId="2" r:id="rId2"/>
    <sheet name="Data" sheetId="4" r:id="rId3"/>
  </sheets>
  <functionGroups builtInGroupCount="19"/>
  <definedNames>
    <definedName name="_xlnm.Print_Titles" localSheetId="0">'Control Panel'!$1:$1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2" l="1"/>
  <c r="C66" i="2"/>
  <c r="B66" i="2"/>
  <c r="C65" i="2"/>
  <c r="B65" i="2"/>
  <c r="B64" i="2"/>
  <c r="D59" i="2"/>
  <c r="C59" i="2"/>
  <c r="B59" i="2"/>
  <c r="C58" i="2"/>
  <c r="B58" i="2"/>
  <c r="B57" i="2"/>
  <c r="D52" i="2"/>
  <c r="C52" i="2"/>
  <c r="B52" i="2"/>
  <c r="C51" i="2"/>
  <c r="B51" i="2"/>
  <c r="B50" i="2"/>
  <c r="D45" i="2"/>
  <c r="C45" i="2"/>
  <c r="B45" i="2"/>
  <c r="C44" i="2"/>
  <c r="B44" i="2"/>
  <c r="B43" i="2"/>
  <c r="D38" i="2"/>
  <c r="C38" i="2"/>
  <c r="B38" i="2"/>
  <c r="C37" i="2"/>
  <c r="B37" i="2"/>
  <c r="B36" i="2"/>
  <c r="D31" i="2"/>
  <c r="C31" i="2"/>
  <c r="B31" i="2"/>
  <c r="C30" i="2"/>
  <c r="B30" i="2"/>
  <c r="B29" i="2"/>
  <c r="D24" i="2"/>
  <c r="C24" i="2"/>
  <c r="B24" i="2"/>
  <c r="C23" i="2"/>
  <c r="B23" i="2"/>
  <c r="B22" i="2"/>
  <c r="D17" i="2"/>
  <c r="C17" i="2"/>
  <c r="B17" i="2"/>
  <c r="C16" i="2"/>
  <c r="B16" i="2"/>
  <c r="B15" i="2"/>
  <c r="H10" i="2"/>
  <c r="G10" i="2"/>
  <c r="F10" i="2"/>
  <c r="E10" i="2"/>
  <c r="D10" i="2"/>
  <c r="C10" i="2"/>
  <c r="B10" i="2"/>
  <c r="G9" i="2"/>
  <c r="F9" i="2"/>
  <c r="E9" i="2"/>
  <c r="D9" i="2"/>
  <c r="C9" i="2"/>
  <c r="B9" i="2"/>
  <c r="F8" i="2"/>
  <c r="E8" i="2"/>
  <c r="D8" i="2"/>
  <c r="C8" i="2"/>
  <c r="B8" i="2"/>
  <c r="E7" i="2"/>
  <c r="D7" i="2"/>
  <c r="C7" i="2"/>
  <c r="B7" i="2"/>
  <c r="D6" i="2"/>
  <c r="C6" i="2"/>
  <c r="B6" i="2"/>
  <c r="C5" i="2"/>
  <c r="B5" i="2"/>
  <c r="B4" i="2"/>
</calcChain>
</file>

<file path=xl/sharedStrings.xml><?xml version="1.0" encoding="utf-8"?>
<sst xmlns="http://schemas.openxmlformats.org/spreadsheetml/2006/main" count="131" uniqueCount="35">
  <si>
    <t>Pairwise comparison of criteria</t>
  </si>
  <si>
    <t>Weight</t>
  </si>
  <si>
    <t>n</t>
  </si>
  <si>
    <t>Random inconsistency</t>
  </si>
  <si>
    <t>Sum</t>
  </si>
  <si>
    <t>Fiyat</t>
  </si>
  <si>
    <t>CO2</t>
  </si>
  <si>
    <t>Bagaj Hacmi</t>
  </si>
  <si>
    <t>Corolla</t>
  </si>
  <si>
    <t>Octavia</t>
  </si>
  <si>
    <t>Escort</t>
  </si>
  <si>
    <t>Jetta</t>
  </si>
  <si>
    <t>Beygir Gücü</t>
  </si>
  <si>
    <t>0-100 km Hızlanma</t>
  </si>
  <si>
    <t>Tüketim</t>
  </si>
  <si>
    <t>Maks. Hız</t>
  </si>
  <si>
    <t>Maks. Tork</t>
  </si>
  <si>
    <t>Pairwise comparison of alternatives based on CO2</t>
  </si>
  <si>
    <t>Pairwise comparison of alternatives based on Fiyat</t>
  </si>
  <si>
    <t>Pairwise comparison of alternatives based on Bagaj Hacmi</t>
  </si>
  <si>
    <t>Pairwise comparison of alternatives based on 0-100 km Hızlanma</t>
  </si>
  <si>
    <t>Pairwise comparison of alternatives based on Tüketim</t>
  </si>
  <si>
    <t>Pairwise comparison of alternatives based on Beygir Gücü</t>
  </si>
  <si>
    <t>Pairwise comparison of alternatives based on Maks. Hız</t>
  </si>
  <si>
    <t>Pairwise comparison of alternatives based on Maks. Tork</t>
  </si>
  <si>
    <t>Amaç</t>
  </si>
  <si>
    <t>Yeni araba almak</t>
  </si>
  <si>
    <t>Tutarsızlık eşiği</t>
  </si>
  <si>
    <t>Hedef tutarsızlık eşiği</t>
  </si>
  <si>
    <t>Alternatifler</t>
  </si>
  <si>
    <t>Skorlar</t>
  </si>
  <si>
    <t>Kriterler</t>
  </si>
  <si>
    <t>Ağırlıklar</t>
  </si>
  <si>
    <t>Tutarsızlık oranları</t>
  </si>
  <si>
    <t>Toplam tutarsızlık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</si>
</sst>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5" borderId="2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3F09"/>
      <color rgb="FFF37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1066800</xdr:colOff>
      <xdr:row>18</xdr:row>
      <xdr:rowOff>138018</xdr:rowOff>
    </xdr:from>
    <xdr:to>
      <xdr:col>0</xdr:col>
      <xdr:colOff>1714800</xdr:colOff>
      <xdr:row>21</xdr:row>
      <xdr:rowOff>201818</xdr:rowOff>
    </xdr:to>
    <xdr:sp macro="[0]!TotalCalculation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3684493"/>
          <a:ext cx="648000" cy="648000"/>
        </a:xfrm>
        <a:prstGeom prst="ellipse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Analiz Et</a:t>
          </a:r>
        </a:p>
      </xdr:txBody>
    </xdr:sp>
    <xdr:clientData fPrintsWithSheet="0"/>
  </xdr:twoCellAnchor>
  <xdr:twoCellAnchor editAs="absolute">
    <xdr:from>
      <xdr:col>0</xdr:col>
      <xdr:colOff>66675</xdr:colOff>
      <xdr:row>11</xdr:row>
      <xdr:rowOff>122144</xdr:rowOff>
    </xdr:from>
    <xdr:to>
      <xdr:col>0</xdr:col>
      <xdr:colOff>1771650</xdr:colOff>
      <xdr:row>13</xdr:row>
      <xdr:rowOff>93569</xdr:rowOff>
    </xdr:to>
    <xdr:sp macro="[0]!clearData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675" y="2324100"/>
          <a:ext cx="1704975" cy="35242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Önceki verileri temizle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ternatives" displayName="Alternatives" ref="C1:D5" totalsRowShown="0" headerRowDxfId="8" dataDxfId="7">
  <autoFilter ref="C1:D5" xr:uid="{00000000-0009-0000-0100-000002000000}"/>
  <tableColumns count="2">
    <tableColumn id="1" xr3:uid="{00000000-0010-0000-0000-000001000000}" name="Alternatifler" dataDxfId="6"/>
    <tableColumn id="2" xr3:uid="{00000000-0010-0000-0000-000002000000}" name="Skorlar" dataDxfId="5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riteria" displayName="Criteria" ref="F1:H9" totalsRowShown="0" headerRowDxfId="4" dataDxfId="3">
  <autoFilter ref="F1:H9" xr:uid="{00000000-0009-0000-0100-000003000000}"/>
  <tableColumns count="3">
    <tableColumn id="1" xr3:uid="{00000000-0010-0000-0100-000001000000}" name="Kriterler" dataDxfId="2"/>
    <tableColumn id="3" xr3:uid="{00000000-0010-0000-0100-000003000000}" name="Ağırlıklar" dataDxfId="1"/>
    <tableColumn id="2" xr3:uid="{00000000-0010-0000-0100-000002000000}" name="Tutarsızlık oranları" dataDxfId="0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andominconsistency" displayName="Randominconsistency" ref="A1:B17" totalsRowShown="0">
  <autoFilter ref="A1:B17" xr:uid="{00000000-0009-0000-0100-000001000000}"/>
  <tableColumns count="2">
    <tableColumn id="1" xr3:uid="{00000000-0010-0000-0200-000001000000}" name="n"/>
    <tableColumn id="2" xr3:uid="{00000000-0010-0000-0200-000002000000}" name="Random inconsist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tabSelected="1" view="pageLayout" zoomScaleNormal="100" workbookViewId="0">
      <selection activeCell="C19" sqref="C19"/>
    </sheetView>
  </sheetViews>
  <sheetFormatPr baseColWidth="10" defaultColWidth="8.83203125" defaultRowHeight="15" x14ac:dyDescent="0.2"/>
  <cols>
    <col min="1" max="1" width="25.33203125" bestFit="1" customWidth="1"/>
    <col min="2" max="2" width="2.1640625" customWidth="1"/>
    <col min="3" max="3" width="27.33203125" style="11" customWidth="1"/>
    <col min="4" max="4" width="19.33203125" style="3" customWidth="1"/>
    <col min="5" max="5" width="1.83203125" style="3" customWidth="1"/>
    <col min="6" max="6" width="23.6640625" style="11" customWidth="1"/>
    <col min="7" max="7" width="14.6640625" style="3" customWidth="1"/>
    <col min="8" max="8" width="19.33203125" style="3" customWidth="1"/>
    <col min="10" max="10" width="26.6640625" bestFit="1" customWidth="1"/>
    <col min="11" max="11" width="14.83203125" bestFit="1" customWidth="1"/>
  </cols>
  <sheetData>
    <row r="1" spans="1:8" ht="24" customHeight="1" x14ac:dyDescent="0.2">
      <c r="C1" s="12" t="s">
        <v>29</v>
      </c>
      <c r="D1" s="9" t="s">
        <v>30</v>
      </c>
      <c r="F1" s="13" t="s">
        <v>31</v>
      </c>
      <c r="G1" s="8" t="s">
        <v>32</v>
      </c>
      <c r="H1" s="10" t="s">
        <v>33</v>
      </c>
    </row>
    <row r="2" spans="1:8" ht="16" x14ac:dyDescent="0.2">
      <c r="A2" s="1" t="s">
        <v>25</v>
      </c>
      <c r="C2" s="3" t="s">
        <v>8</v>
      </c>
      <c r="D2" s="3">
        <v>0.52241320244802503</v>
      </c>
      <c r="F2" s="3" t="s">
        <v>5</v>
      </c>
      <c r="G2" s="3">
        <v>0.30225138452656231</v>
      </c>
      <c r="H2" s="3">
        <v>0.1227776265907472</v>
      </c>
    </row>
    <row r="3" spans="1:8" x14ac:dyDescent="0.2">
      <c r="A3" s="2" t="s">
        <v>26</v>
      </c>
      <c r="C3" s="3" t="s">
        <v>9</v>
      </c>
      <c r="D3" s="3">
        <v>0.24366903530407585</v>
      </c>
      <c r="F3" s="3" t="s">
        <v>6</v>
      </c>
      <c r="G3" s="3">
        <v>0.20958576051405622</v>
      </c>
      <c r="H3" s="3">
        <v>0.46588542544906897</v>
      </c>
    </row>
    <row r="4" spans="1:8" x14ac:dyDescent="0.2">
      <c r="C4" s="3" t="s">
        <v>10</v>
      </c>
      <c r="D4" s="3">
        <v>0.16332367919835145</v>
      </c>
      <c r="F4" s="3" t="s">
        <v>7</v>
      </c>
      <c r="G4" s="3">
        <v>0.14287290582276366</v>
      </c>
      <c r="H4" s="3">
        <v>0.18453427741935391</v>
      </c>
    </row>
    <row r="5" spans="1:8" ht="16" x14ac:dyDescent="0.2">
      <c r="A5" s="6" t="s">
        <v>27</v>
      </c>
      <c r="C5" s="3" t="s">
        <v>11</v>
      </c>
      <c r="D5" s="3">
        <v>7.0594083049547757E-2</v>
      </c>
      <c r="F5" s="3" t="s">
        <v>13</v>
      </c>
      <c r="G5" s="3">
        <v>0.1343798275141482</v>
      </c>
      <c r="H5" s="3">
        <v>0.22158974359335459</v>
      </c>
    </row>
    <row r="6" spans="1:8" x14ac:dyDescent="0.2">
      <c r="A6" s="5">
        <v>0.1</v>
      </c>
      <c r="F6" s="3" t="s">
        <v>14</v>
      </c>
      <c r="G6" s="3">
        <v>7.9716961247875029E-2</v>
      </c>
      <c r="H6" s="3">
        <v>0.48214654847311511</v>
      </c>
    </row>
    <row r="7" spans="1:8" ht="16" x14ac:dyDescent="0.2">
      <c r="A7" s="7" t="s">
        <v>28</v>
      </c>
      <c r="F7" s="3" t="s">
        <v>12</v>
      </c>
      <c r="G7" s="3">
        <v>6.2807790417001796E-2</v>
      </c>
      <c r="H7" s="3">
        <v>0.16821427426944111</v>
      </c>
    </row>
    <row r="8" spans="1:8" ht="16" x14ac:dyDescent="0.2">
      <c r="A8" s="4">
        <v>0.17522389516776243</v>
      </c>
      <c r="F8" s="11" t="s">
        <v>15</v>
      </c>
      <c r="G8" s="3">
        <v>3.9965062904063473E-2</v>
      </c>
      <c r="H8" s="3">
        <v>0.17458603581315849</v>
      </c>
    </row>
    <row r="9" spans="1:8" ht="16" x14ac:dyDescent="0.2">
      <c r="A9" s="7" t="s">
        <v>34</v>
      </c>
      <c r="F9" s="11" t="s">
        <v>16</v>
      </c>
      <c r="G9" s="3">
        <v>2.8420307053529319E-2</v>
      </c>
      <c r="H9" s="3">
        <v>0.15668773634585914</v>
      </c>
    </row>
    <row r="10" spans="1:8" x14ac:dyDescent="0.2">
      <c r="A10" s="4">
        <v>0.20487394076942242</v>
      </c>
    </row>
    <row r="17" spans="3:3" ht="16" x14ac:dyDescent="0.2">
      <c r="C17" s="18"/>
    </row>
    <row r="18" spans="3:3" x14ac:dyDescent="0.2">
      <c r="C18" s="19"/>
    </row>
    <row r="19" spans="3:3" x14ac:dyDescent="0.2">
      <c r="C19"/>
    </row>
    <row r="20" spans="3:3" ht="16" x14ac:dyDescent="0.2">
      <c r="C20" s="18"/>
    </row>
    <row r="21" spans="3:3" x14ac:dyDescent="0.2">
      <c r="C21" s="19"/>
    </row>
    <row r="22" spans="3:3" ht="16" x14ac:dyDescent="0.2">
      <c r="C22" s="18"/>
    </row>
    <row r="23" spans="3:3" x14ac:dyDescent="0.2">
      <c r="C23"/>
    </row>
    <row r="24" spans="3:3" ht="16" x14ac:dyDescent="0.2">
      <c r="C24" s="18"/>
    </row>
  </sheetData>
  <conditionalFormatting sqref="A10">
    <cfRule type="iconSet" priority="7">
      <iconSet iconSet="3Symbols" reverse="1">
        <cfvo type="percent" val="0"/>
        <cfvo type="num" val="$A$6*0.75"/>
        <cfvo type="num" val="$A$6" gte="0"/>
      </iconSet>
    </cfRule>
  </conditionalFormatting>
  <conditionalFormatting sqref="H2:H9">
    <cfRule type="cellIs" dxfId="9" priority="1" operator="greaterThan">
      <formula>$A$6</formula>
    </cfRule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{87FFAEC2-4FE3-458B-8DF4-990D491EB343}</x14:id>
        </ext>
      </extLst>
    </cfRule>
  </conditionalFormatting>
  <conditionalFormatting sqref="D2:D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{26914653-3ACA-40D4-9D4C-3E72CFE9E0DA}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orientation="landscape" r:id="rId1"/>
  <headerFooter>
    <oddHeader>&amp;L&amp;"Times New Roman,Bold Italic"www.deyako.co.uk&amp;C&amp;"Times New Roman,Bold"&amp;16&amp;K002060AHP Analyzer&amp;R&amp;G</oddHeader>
    <oddFooter>&amp;L&amp;G&amp;CDeveloped by Deyako LTD company
All rights are reserved&amp;R&amp;"Times New Roman,Bold Italic"&amp;12wwww.deyako.co.uk</oddFooter>
  </headerFooter>
  <drawing r:id="rId2"/>
  <legacyDrawingHF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FFAEC2-4FE3-458B-8DF4-990D491EB3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H2:H9</xm:sqref>
        </x14:conditionalFormatting>
        <x14:conditionalFormatting xmlns:xm="http://schemas.microsoft.com/office/excel/2006/main">
          <x14:cfRule type="dataBar" id="{26914653-3ACA-40D4-9D4C-3E72CFE9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7"/>
  <sheetViews>
    <sheetView topLeftCell="A37" zoomScale="90" zoomScaleNormal="90" workbookViewId="0">
      <selection activeCell="E66" sqref="E66"/>
    </sheetView>
  </sheetViews>
  <sheetFormatPr baseColWidth="10" defaultColWidth="8.83203125" defaultRowHeight="15" x14ac:dyDescent="0.2"/>
  <cols>
    <col min="1" max="1" width="58.5" bestFit="1" customWidth="1"/>
    <col min="4" max="4" width="11.6640625" bestFit="1" customWidth="1"/>
    <col min="5" max="5" width="10.33203125" bestFit="1" customWidth="1"/>
    <col min="16" max="16" width="11.33203125" bestFit="1" customWidth="1"/>
  </cols>
  <sheetData>
    <row r="1" spans="1:10" x14ac:dyDescent="0.2">
      <c r="A1" t="s">
        <v>0</v>
      </c>
    </row>
    <row r="2" spans="1:10" x14ac:dyDescent="0.2">
      <c r="B2" t="s">
        <v>5</v>
      </c>
      <c r="C2" t="s">
        <v>6</v>
      </c>
      <c r="D2" t="s">
        <v>7</v>
      </c>
      <c r="E2" t="s">
        <v>13</v>
      </c>
      <c r="F2" t="s">
        <v>14</v>
      </c>
      <c r="G2" t="s">
        <v>12</v>
      </c>
      <c r="H2" t="s">
        <v>15</v>
      </c>
      <c r="I2" t="s">
        <v>16</v>
      </c>
      <c r="J2" t="s">
        <v>1</v>
      </c>
    </row>
    <row r="3" spans="1:10" x14ac:dyDescent="0.2">
      <c r="A3" s="14" t="s">
        <v>5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0.30225138452656231</v>
      </c>
    </row>
    <row r="4" spans="1:10" x14ac:dyDescent="0.2">
      <c r="A4" s="15" t="s">
        <v>6</v>
      </c>
      <c r="B4">
        <f>IFERROR(1/$C$3,1)</f>
        <v>0.5</v>
      </c>
      <c r="C4">
        <v>1</v>
      </c>
      <c r="D4">
        <v>3</v>
      </c>
      <c r="E4">
        <v>4</v>
      </c>
      <c r="F4">
        <v>5</v>
      </c>
      <c r="G4">
        <v>4</v>
      </c>
      <c r="H4">
        <v>3</v>
      </c>
      <c r="I4">
        <v>4</v>
      </c>
      <c r="J4">
        <v>0.20958576051405622</v>
      </c>
    </row>
    <row r="5" spans="1:10" x14ac:dyDescent="0.2">
      <c r="A5" s="14" t="s">
        <v>7</v>
      </c>
      <c r="B5">
        <f>IFERROR(1/$D$3,1)</f>
        <v>0.33333333333333331</v>
      </c>
      <c r="C5">
        <f>IFERROR(1/$D$4,1)</f>
        <v>0.33333333333333331</v>
      </c>
      <c r="D5">
        <v>1</v>
      </c>
      <c r="E5">
        <v>5</v>
      </c>
      <c r="F5">
        <v>3</v>
      </c>
      <c r="G5">
        <v>4</v>
      </c>
      <c r="H5">
        <v>3</v>
      </c>
      <c r="I5">
        <v>2</v>
      </c>
      <c r="J5">
        <v>0.14287290582276366</v>
      </c>
    </row>
    <row r="6" spans="1:10" x14ac:dyDescent="0.2">
      <c r="A6" s="15" t="s">
        <v>13</v>
      </c>
      <c r="B6">
        <f>IFERROR(1/$E$3,1)</f>
        <v>0.25</v>
      </c>
      <c r="C6">
        <f>IFERROR(1/$E$4,1)</f>
        <v>0.25</v>
      </c>
      <c r="D6">
        <f>IFERROR(1/$E$5,1)</f>
        <v>0.2</v>
      </c>
      <c r="E6">
        <v>1</v>
      </c>
      <c r="F6">
        <v>4</v>
      </c>
      <c r="G6">
        <v>5</v>
      </c>
      <c r="H6">
        <v>6</v>
      </c>
      <c r="I6">
        <v>7</v>
      </c>
      <c r="J6">
        <v>0.1343798275141482</v>
      </c>
    </row>
    <row r="7" spans="1:10" x14ac:dyDescent="0.2">
      <c r="A7" s="14" t="s">
        <v>14</v>
      </c>
      <c r="B7">
        <f>IFERROR(1/$F$3,1)</f>
        <v>0.2</v>
      </c>
      <c r="C7">
        <f>IFERROR(1/$F$4,1)</f>
        <v>0.2</v>
      </c>
      <c r="D7">
        <f>IFERROR(1/$F$5,1)</f>
        <v>0.33333333333333331</v>
      </c>
      <c r="E7">
        <f>IFERROR(1/$F$6,1)</f>
        <v>0.25</v>
      </c>
      <c r="F7">
        <v>1</v>
      </c>
      <c r="G7">
        <v>3</v>
      </c>
      <c r="H7">
        <v>4</v>
      </c>
      <c r="I7">
        <v>5</v>
      </c>
      <c r="J7">
        <v>7.9716961247875029E-2</v>
      </c>
    </row>
    <row r="8" spans="1:10" x14ac:dyDescent="0.2">
      <c r="A8" s="15" t="s">
        <v>12</v>
      </c>
      <c r="B8">
        <f>IFERROR(1/$G$3,1)</f>
        <v>0.16666666666666666</v>
      </c>
      <c r="C8">
        <f>IFERROR(1/$G$4,1)</f>
        <v>0.25</v>
      </c>
      <c r="D8">
        <f>IFERROR(1/$G$5,1)</f>
        <v>0.25</v>
      </c>
      <c r="E8">
        <f>IFERROR(1/$G$6,1)</f>
        <v>0.2</v>
      </c>
      <c r="F8">
        <f>IFERROR(1/$G$7,1)</f>
        <v>0.33333333333333331</v>
      </c>
      <c r="G8">
        <v>1</v>
      </c>
      <c r="H8">
        <v>4</v>
      </c>
      <c r="I8">
        <v>5</v>
      </c>
      <c r="J8">
        <v>6.2807790417001796E-2</v>
      </c>
    </row>
    <row r="9" spans="1:10" ht="16" x14ac:dyDescent="0.2">
      <c r="A9" s="16" t="s">
        <v>15</v>
      </c>
      <c r="B9">
        <f>IFERROR(1/$H$3,1)</f>
        <v>0.14285714285714285</v>
      </c>
      <c r="C9">
        <f>IFERROR(1/$H$4,1)</f>
        <v>0.33333333333333331</v>
      </c>
      <c r="D9">
        <f>IFERROR(1/$H$5,1)</f>
        <v>0.33333333333333331</v>
      </c>
      <c r="E9">
        <f>IFERROR(1/$H$6,1)</f>
        <v>0.16666666666666666</v>
      </c>
      <c r="F9">
        <f>IFERROR(1/$H$7,1)</f>
        <v>0.25</v>
      </c>
      <c r="G9">
        <f>IFERROR(1/$H$8,1)</f>
        <v>0.25</v>
      </c>
      <c r="H9">
        <v>1</v>
      </c>
      <c r="I9">
        <v>3</v>
      </c>
      <c r="J9">
        <v>3.9965062904063473E-2</v>
      </c>
    </row>
    <row r="10" spans="1:10" ht="16" x14ac:dyDescent="0.2">
      <c r="A10" s="17" t="s">
        <v>16</v>
      </c>
      <c r="B10">
        <f>IFERROR(1/$I$3,1)</f>
        <v>0.125</v>
      </c>
      <c r="C10">
        <f>IFERROR(1/$I$4,1)</f>
        <v>0.25</v>
      </c>
      <c r="D10">
        <f>IFERROR(1/$I$5,1)</f>
        <v>0.5</v>
      </c>
      <c r="E10">
        <f>IFERROR(1/$I$6,1)</f>
        <v>0.14285714285714285</v>
      </c>
      <c r="F10">
        <f>IFERROR(1/$I$7,1)</f>
        <v>0.2</v>
      </c>
      <c r="G10">
        <f>IFERROR(1/$I$8,1)</f>
        <v>0.2</v>
      </c>
      <c r="H10">
        <f>IFERROR(1/$I$9,1)</f>
        <v>0.33333333333333331</v>
      </c>
      <c r="I10">
        <v>1</v>
      </c>
      <c r="J10">
        <v>2.8420307053529319E-2</v>
      </c>
    </row>
    <row r="11" spans="1:10" x14ac:dyDescent="0.2">
      <c r="A11" t="s">
        <v>4</v>
      </c>
      <c r="B11">
        <v>2.7178571428571425</v>
      </c>
      <c r="C11">
        <v>4.6166666666666663</v>
      </c>
      <c r="D11">
        <v>8.6166666666666671</v>
      </c>
      <c r="E11">
        <v>14.759523809523808</v>
      </c>
      <c r="F11">
        <v>18.783333333333331</v>
      </c>
      <c r="G11">
        <v>23.45</v>
      </c>
      <c r="H11">
        <v>28.333333333333332</v>
      </c>
      <c r="I11">
        <v>35</v>
      </c>
    </row>
    <row r="12" spans="1:10" x14ac:dyDescent="0.2">
      <c r="A12" t="s">
        <v>18</v>
      </c>
    </row>
    <row r="13" spans="1:10" x14ac:dyDescent="0.2">
      <c r="B13" t="s">
        <v>8</v>
      </c>
      <c r="C13" t="s">
        <v>9</v>
      </c>
      <c r="D13" t="s">
        <v>10</v>
      </c>
      <c r="E13" t="s">
        <v>11</v>
      </c>
      <c r="F13" t="s">
        <v>1</v>
      </c>
    </row>
    <row r="14" spans="1:10" x14ac:dyDescent="0.2">
      <c r="A14" t="s">
        <v>8</v>
      </c>
      <c r="B14">
        <v>1</v>
      </c>
      <c r="C14">
        <v>3</v>
      </c>
      <c r="D14">
        <v>4</v>
      </c>
      <c r="E14">
        <v>5</v>
      </c>
      <c r="F14">
        <v>0.51822754673521754</v>
      </c>
    </row>
    <row r="15" spans="1:10" x14ac:dyDescent="0.2">
      <c r="A15" t="s">
        <v>9</v>
      </c>
      <c r="B15">
        <f>IFERROR(1/$C$14,1)</f>
        <v>0.33333333333333331</v>
      </c>
      <c r="C15">
        <v>1</v>
      </c>
      <c r="D15">
        <v>2</v>
      </c>
      <c r="E15">
        <v>3</v>
      </c>
      <c r="F15">
        <v>0.21822055175411642</v>
      </c>
    </row>
    <row r="16" spans="1:10" x14ac:dyDescent="0.2">
      <c r="A16" t="s">
        <v>10</v>
      </c>
      <c r="B16">
        <f>IFERROR(1/$D$14,1)</f>
        <v>0.25</v>
      </c>
      <c r="C16">
        <f>IFERROR(1/$D$15,1)</f>
        <v>0.5</v>
      </c>
      <c r="D16">
        <v>1</v>
      </c>
      <c r="E16">
        <v>6</v>
      </c>
      <c r="F16">
        <v>0.19579251886771243</v>
      </c>
    </row>
    <row r="17" spans="1:6" x14ac:dyDescent="0.2">
      <c r="A17" t="s">
        <v>11</v>
      </c>
      <c r="B17">
        <f>IFERROR(1/$E$14,1)</f>
        <v>0.2</v>
      </c>
      <c r="C17">
        <f>IFERROR(1/$E$15,1)</f>
        <v>0.33333333333333331</v>
      </c>
      <c r="D17">
        <f>IFERROR(1/$E$16,1)</f>
        <v>0.16666666666666666</v>
      </c>
      <c r="E17">
        <v>1</v>
      </c>
      <c r="F17">
        <v>6.7759382642953683E-2</v>
      </c>
    </row>
    <row r="18" spans="1:6" x14ac:dyDescent="0.2">
      <c r="A18" t="s">
        <v>4</v>
      </c>
      <c r="B18">
        <v>1.7833333333333332</v>
      </c>
      <c r="C18">
        <v>4.833333333333333</v>
      </c>
      <c r="D18">
        <v>7.166666666666667</v>
      </c>
      <c r="E18">
        <v>15</v>
      </c>
    </row>
    <row r="19" spans="1:6" x14ac:dyDescent="0.2">
      <c r="A19" t="s">
        <v>17</v>
      </c>
    </row>
    <row r="20" spans="1:6" x14ac:dyDescent="0.2">
      <c r="B20" t="s">
        <v>8</v>
      </c>
      <c r="C20" t="s">
        <v>9</v>
      </c>
      <c r="D20" t="s">
        <v>10</v>
      </c>
      <c r="E20" t="s">
        <v>11</v>
      </c>
      <c r="F20" t="s">
        <v>1</v>
      </c>
    </row>
    <row r="21" spans="1:6" x14ac:dyDescent="0.2">
      <c r="A21" t="s">
        <v>8</v>
      </c>
      <c r="B21">
        <v>1</v>
      </c>
      <c r="C21">
        <v>5</v>
      </c>
      <c r="D21">
        <v>4</v>
      </c>
      <c r="E21">
        <v>3</v>
      </c>
      <c r="F21">
        <v>0.48515444835538296</v>
      </c>
    </row>
    <row r="22" spans="1:6" x14ac:dyDescent="0.2">
      <c r="A22" t="s">
        <v>9</v>
      </c>
      <c r="B22">
        <f>IFERROR(1/$C$21,1)</f>
        <v>0.2</v>
      </c>
      <c r="C22">
        <v>1</v>
      </c>
      <c r="D22">
        <v>6</v>
      </c>
      <c r="E22">
        <v>2</v>
      </c>
      <c r="F22">
        <v>0.244920500060687</v>
      </c>
    </row>
    <row r="23" spans="1:6" x14ac:dyDescent="0.2">
      <c r="A23" t="s">
        <v>10</v>
      </c>
      <c r="B23">
        <f>IFERROR(1/$D$21,1)</f>
        <v>0.25</v>
      </c>
      <c r="C23">
        <f>IFERROR(1/$D$22,1)</f>
        <v>0.16666666666666666</v>
      </c>
      <c r="D23">
        <v>1</v>
      </c>
      <c r="E23">
        <v>5</v>
      </c>
      <c r="F23">
        <v>0.17725452117975482</v>
      </c>
    </row>
    <row r="24" spans="1:6" x14ac:dyDescent="0.2">
      <c r="A24" t="s">
        <v>11</v>
      </c>
      <c r="B24">
        <f>IFERROR(1/$E$21,1)</f>
        <v>0.33333333333333331</v>
      </c>
      <c r="C24">
        <f>IFERROR(1/$E$22,1)</f>
        <v>0.5</v>
      </c>
      <c r="D24">
        <f>IFERROR(1/$E$23,1)</f>
        <v>0.2</v>
      </c>
      <c r="E24">
        <v>1</v>
      </c>
      <c r="F24">
        <v>9.267053040417525E-2</v>
      </c>
    </row>
    <row r="25" spans="1:6" x14ac:dyDescent="0.2">
      <c r="A25" t="s">
        <v>4</v>
      </c>
      <c r="B25">
        <v>1.7833333333333332</v>
      </c>
      <c r="C25">
        <v>6.666666666666667</v>
      </c>
      <c r="D25">
        <v>11.2</v>
      </c>
      <c r="E25">
        <v>11</v>
      </c>
    </row>
    <row r="26" spans="1:6" x14ac:dyDescent="0.2">
      <c r="A26" t="s">
        <v>19</v>
      </c>
    </row>
    <row r="27" spans="1:6" x14ac:dyDescent="0.2">
      <c r="B27" t="s">
        <v>8</v>
      </c>
      <c r="C27" t="s">
        <v>9</v>
      </c>
      <c r="D27" t="s">
        <v>10</v>
      </c>
      <c r="E27" t="s">
        <v>11</v>
      </c>
      <c r="F27" t="s">
        <v>1</v>
      </c>
    </row>
    <row r="28" spans="1:6" x14ac:dyDescent="0.2">
      <c r="A28" t="s">
        <v>8</v>
      </c>
      <c r="B28">
        <v>1</v>
      </c>
      <c r="C28">
        <v>4</v>
      </c>
      <c r="D28">
        <v>5</v>
      </c>
      <c r="E28">
        <v>4</v>
      </c>
      <c r="F28">
        <v>0.52417251304191403</v>
      </c>
    </row>
    <row r="29" spans="1:6" x14ac:dyDescent="0.2">
      <c r="A29" t="s">
        <v>9</v>
      </c>
      <c r="B29">
        <f>IFERROR(1/$C$28,1)</f>
        <v>0.25</v>
      </c>
      <c r="C29">
        <v>1</v>
      </c>
      <c r="D29">
        <v>5</v>
      </c>
      <c r="E29">
        <v>4</v>
      </c>
      <c r="F29">
        <v>0.27626371649577258</v>
      </c>
    </row>
    <row r="30" spans="1:6" x14ac:dyDescent="0.2">
      <c r="A30" t="s">
        <v>10</v>
      </c>
      <c r="B30">
        <f>IFERROR(1/$D$28,1)</f>
        <v>0.2</v>
      </c>
      <c r="C30">
        <f>IFERROR(1/$D$29,1)</f>
        <v>0.2</v>
      </c>
      <c r="D30">
        <v>1</v>
      </c>
      <c r="E30">
        <v>3</v>
      </c>
      <c r="F30">
        <v>0.12314490016189963</v>
      </c>
    </row>
    <row r="31" spans="1:6" x14ac:dyDescent="0.2">
      <c r="A31" t="s">
        <v>11</v>
      </c>
      <c r="B31">
        <f>IFERROR(1/$E$28,1)</f>
        <v>0.25</v>
      </c>
      <c r="C31">
        <f>IFERROR(1/$E$29,1)</f>
        <v>0.25</v>
      </c>
      <c r="D31">
        <f>IFERROR(1/$E$30,1)</f>
        <v>0.33333333333333331</v>
      </c>
      <c r="E31">
        <v>1</v>
      </c>
      <c r="F31">
        <v>7.6418870300413749E-2</v>
      </c>
    </row>
    <row r="32" spans="1:6" x14ac:dyDescent="0.2">
      <c r="A32" t="s">
        <v>4</v>
      </c>
      <c r="B32">
        <v>1.7</v>
      </c>
      <c r="C32">
        <v>5.45</v>
      </c>
      <c r="D32">
        <v>11.333333333333334</v>
      </c>
      <c r="E32">
        <v>12</v>
      </c>
    </row>
    <row r="33" spans="1:6" x14ac:dyDescent="0.2">
      <c r="A33" t="s">
        <v>20</v>
      </c>
    </row>
    <row r="34" spans="1:6" x14ac:dyDescent="0.2">
      <c r="B34" t="s">
        <v>8</v>
      </c>
      <c r="C34" t="s">
        <v>9</v>
      </c>
      <c r="D34" t="s">
        <v>10</v>
      </c>
      <c r="E34" t="s">
        <v>11</v>
      </c>
      <c r="F34" t="s">
        <v>1</v>
      </c>
    </row>
    <row r="35" spans="1:6" x14ac:dyDescent="0.2">
      <c r="A35" t="s">
        <v>8</v>
      </c>
      <c r="B35">
        <v>1</v>
      </c>
      <c r="C35">
        <v>5</v>
      </c>
      <c r="D35">
        <v>6</v>
      </c>
      <c r="E35">
        <v>7</v>
      </c>
      <c r="F35">
        <v>0.5830028839308421</v>
      </c>
    </row>
    <row r="36" spans="1:6" x14ac:dyDescent="0.2">
      <c r="A36" t="s">
        <v>9</v>
      </c>
      <c r="B36">
        <f>IFERROR(1/$C$35,1)</f>
        <v>0.2</v>
      </c>
      <c r="C36">
        <v>1</v>
      </c>
      <c r="D36">
        <v>6</v>
      </c>
      <c r="E36">
        <v>4</v>
      </c>
      <c r="F36">
        <v>0.24779161452201748</v>
      </c>
    </row>
    <row r="37" spans="1:6" x14ac:dyDescent="0.2">
      <c r="A37" t="s">
        <v>10</v>
      </c>
      <c r="B37">
        <f>IFERROR(1/$D$35,1)</f>
        <v>0.16666666666666666</v>
      </c>
      <c r="C37">
        <f>IFERROR(1/$D$36,1)</f>
        <v>0.16666666666666666</v>
      </c>
      <c r="D37">
        <v>1</v>
      </c>
      <c r="E37">
        <v>4</v>
      </c>
      <c r="F37">
        <v>0.11546395468111437</v>
      </c>
    </row>
    <row r="38" spans="1:6" x14ac:dyDescent="0.2">
      <c r="A38" t="s">
        <v>11</v>
      </c>
      <c r="B38">
        <f>IFERROR(1/$E$35,1)</f>
        <v>0.14285714285714285</v>
      </c>
      <c r="C38">
        <f>IFERROR(1/$E$36,1)</f>
        <v>0.25</v>
      </c>
      <c r="D38">
        <f>IFERROR(1/$E$37,1)</f>
        <v>0.25</v>
      </c>
      <c r="E38">
        <v>1</v>
      </c>
      <c r="F38">
        <v>5.3741546866026058E-2</v>
      </c>
    </row>
    <row r="39" spans="1:6" x14ac:dyDescent="0.2">
      <c r="A39" t="s">
        <v>4</v>
      </c>
      <c r="B39">
        <v>1.5095238095238095</v>
      </c>
      <c r="C39">
        <v>6.416666666666667</v>
      </c>
      <c r="D39">
        <v>13.25</v>
      </c>
      <c r="E39">
        <v>16</v>
      </c>
    </row>
    <row r="40" spans="1:6" x14ac:dyDescent="0.2">
      <c r="A40" t="s">
        <v>21</v>
      </c>
    </row>
    <row r="41" spans="1:6" x14ac:dyDescent="0.2">
      <c r="B41" t="s">
        <v>8</v>
      </c>
      <c r="C41" t="s">
        <v>9</v>
      </c>
      <c r="D41" t="s">
        <v>10</v>
      </c>
      <c r="E41" t="s">
        <v>11</v>
      </c>
      <c r="F41" t="s">
        <v>1</v>
      </c>
    </row>
    <row r="42" spans="1:6" x14ac:dyDescent="0.2">
      <c r="A42" t="s">
        <v>8</v>
      </c>
      <c r="B42">
        <v>1</v>
      </c>
      <c r="C42">
        <v>6</v>
      </c>
      <c r="D42">
        <v>5</v>
      </c>
      <c r="E42">
        <v>4</v>
      </c>
      <c r="F42">
        <v>0.52002379064234738</v>
      </c>
    </row>
    <row r="43" spans="1:6" x14ac:dyDescent="0.2">
      <c r="A43" t="s">
        <v>9</v>
      </c>
      <c r="B43">
        <f>IFERROR(1/$C$42,1)</f>
        <v>0.16666666666666666</v>
      </c>
      <c r="C43">
        <v>1</v>
      </c>
      <c r="D43">
        <v>6</v>
      </c>
      <c r="E43">
        <v>5</v>
      </c>
      <c r="F43">
        <v>0.25676867098941086</v>
      </c>
    </row>
    <row r="44" spans="1:6" x14ac:dyDescent="0.2">
      <c r="A44" t="s">
        <v>10</v>
      </c>
      <c r="B44">
        <f>IFERROR(1/$D$42,1)</f>
        <v>0.2</v>
      </c>
      <c r="C44">
        <f>IFERROR(1/$D$43,1)</f>
        <v>0.16666666666666666</v>
      </c>
      <c r="D44">
        <v>1</v>
      </c>
      <c r="E44">
        <v>7</v>
      </c>
      <c r="F44">
        <v>0.16011335541353733</v>
      </c>
    </row>
    <row r="45" spans="1:6" x14ac:dyDescent="0.2">
      <c r="A45" t="s">
        <v>11</v>
      </c>
      <c r="B45">
        <f>IFERROR(1/$E$42,1)</f>
        <v>0.25</v>
      </c>
      <c r="C45">
        <f>IFERROR(1/$E$43,1)</f>
        <v>0.2</v>
      </c>
      <c r="D45">
        <f>IFERROR(1/$E$44,1)</f>
        <v>0.14285714285714285</v>
      </c>
      <c r="E45">
        <v>1</v>
      </c>
      <c r="F45">
        <v>6.3094182954704495E-2</v>
      </c>
    </row>
    <row r="46" spans="1:6" x14ac:dyDescent="0.2">
      <c r="A46" t="s">
        <v>4</v>
      </c>
      <c r="B46">
        <v>1.6166666666666667</v>
      </c>
      <c r="C46">
        <v>7.3666666666666671</v>
      </c>
      <c r="D46">
        <v>12.142857142857142</v>
      </c>
      <c r="E46">
        <v>17</v>
      </c>
    </row>
    <row r="47" spans="1:6" x14ac:dyDescent="0.2">
      <c r="A47" t="s">
        <v>22</v>
      </c>
    </row>
    <row r="48" spans="1:6" x14ac:dyDescent="0.2">
      <c r="B48" t="s">
        <v>8</v>
      </c>
      <c r="C48" t="s">
        <v>9</v>
      </c>
      <c r="D48" t="s">
        <v>10</v>
      </c>
      <c r="E48" t="s">
        <v>11</v>
      </c>
      <c r="F48" t="s">
        <v>1</v>
      </c>
    </row>
    <row r="49" spans="1:6" x14ac:dyDescent="0.2">
      <c r="A49" t="s">
        <v>8</v>
      </c>
      <c r="B49">
        <v>1</v>
      </c>
      <c r="C49">
        <v>4</v>
      </c>
      <c r="D49">
        <v>5</v>
      </c>
      <c r="E49">
        <v>6</v>
      </c>
      <c r="F49">
        <v>0.55834258335095577</v>
      </c>
    </row>
    <row r="50" spans="1:6" x14ac:dyDescent="0.2">
      <c r="A50" t="s">
        <v>9</v>
      </c>
      <c r="B50">
        <f>IFERROR(1/$C$49,1)</f>
        <v>0.25</v>
      </c>
      <c r="C50">
        <v>1</v>
      </c>
      <c r="D50">
        <v>3</v>
      </c>
      <c r="E50">
        <v>4</v>
      </c>
      <c r="F50">
        <v>0.22407762444736462</v>
      </c>
    </row>
    <row r="51" spans="1:6" x14ac:dyDescent="0.2">
      <c r="A51" t="s">
        <v>10</v>
      </c>
      <c r="B51">
        <f>IFERROR(1/$D$49,1)</f>
        <v>0.2</v>
      </c>
      <c r="C51">
        <f>IFERROR(1/$D$50,1)</f>
        <v>0.33333333333333331</v>
      </c>
      <c r="D51">
        <v>1</v>
      </c>
      <c r="E51">
        <v>6</v>
      </c>
      <c r="F51">
        <v>0.1613612295762491</v>
      </c>
    </row>
    <row r="52" spans="1:6" x14ac:dyDescent="0.2">
      <c r="A52" t="s">
        <v>11</v>
      </c>
      <c r="B52">
        <f>IFERROR(1/$E$49,1)</f>
        <v>0.16666666666666666</v>
      </c>
      <c r="C52">
        <f>IFERROR(1/$E$50,1)</f>
        <v>0.25</v>
      </c>
      <c r="D52">
        <f>IFERROR(1/$E$51,1)</f>
        <v>0.16666666666666666</v>
      </c>
      <c r="E52">
        <v>1</v>
      </c>
      <c r="F52">
        <v>5.6218562625430651E-2</v>
      </c>
    </row>
    <row r="53" spans="1:6" x14ac:dyDescent="0.2">
      <c r="A53" t="s">
        <v>4</v>
      </c>
      <c r="B53">
        <v>1.6166666666666667</v>
      </c>
      <c r="C53">
        <v>5.583333333333333</v>
      </c>
      <c r="D53">
        <v>9.1666666666666661</v>
      </c>
      <c r="E53">
        <v>17</v>
      </c>
    </row>
    <row r="54" spans="1:6" x14ac:dyDescent="0.2">
      <c r="A54" t="s">
        <v>23</v>
      </c>
    </row>
    <row r="55" spans="1:6" x14ac:dyDescent="0.2">
      <c r="B55" t="s">
        <v>8</v>
      </c>
      <c r="C55" t="s">
        <v>9</v>
      </c>
      <c r="D55" t="s">
        <v>10</v>
      </c>
      <c r="E55" t="s">
        <v>11</v>
      </c>
      <c r="F55" t="s">
        <v>1</v>
      </c>
    </row>
    <row r="56" spans="1:6" x14ac:dyDescent="0.2">
      <c r="A56" t="s">
        <v>8</v>
      </c>
      <c r="B56">
        <v>1</v>
      </c>
      <c r="C56">
        <v>3</v>
      </c>
      <c r="D56">
        <v>4</v>
      </c>
      <c r="E56">
        <v>6</v>
      </c>
      <c r="F56">
        <v>0.50685001273236574</v>
      </c>
    </row>
    <row r="57" spans="1:6" x14ac:dyDescent="0.2">
      <c r="A57" t="s">
        <v>9</v>
      </c>
      <c r="B57">
        <f>IFERROR(1/$C$56,1)</f>
        <v>0.33333333333333331</v>
      </c>
      <c r="C57">
        <v>1</v>
      </c>
      <c r="D57">
        <v>4</v>
      </c>
      <c r="E57">
        <v>4</v>
      </c>
      <c r="F57">
        <v>0.27108904167727699</v>
      </c>
    </row>
    <row r="58" spans="1:6" x14ac:dyDescent="0.2">
      <c r="A58" t="s">
        <v>10</v>
      </c>
      <c r="B58">
        <f>IFERROR(1/$D$56,1)</f>
        <v>0.25</v>
      </c>
      <c r="C58">
        <f>IFERROR(1/$D$57,1)</f>
        <v>0.25</v>
      </c>
      <c r="D58">
        <v>1</v>
      </c>
      <c r="E58">
        <v>6</v>
      </c>
      <c r="F58">
        <v>0.16511119599354895</v>
      </c>
    </row>
    <row r="59" spans="1:6" x14ac:dyDescent="0.2">
      <c r="A59" t="s">
        <v>11</v>
      </c>
      <c r="B59">
        <f>IFERROR(1/$E$56,1)</f>
        <v>0.16666666666666666</v>
      </c>
      <c r="C59">
        <f>IFERROR(1/$E$57,1)</f>
        <v>0.25</v>
      </c>
      <c r="D59">
        <f>IFERROR(1/$E$58,1)</f>
        <v>0.16666666666666666</v>
      </c>
      <c r="E59">
        <v>1</v>
      </c>
      <c r="F59">
        <v>5.6949749596808416E-2</v>
      </c>
    </row>
    <row r="60" spans="1:6" x14ac:dyDescent="0.2">
      <c r="A60" t="s">
        <v>4</v>
      </c>
      <c r="B60">
        <v>1.75</v>
      </c>
      <c r="C60">
        <v>4.5</v>
      </c>
      <c r="D60">
        <v>9.1666666666666661</v>
      </c>
      <c r="E60">
        <v>17</v>
      </c>
    </row>
    <row r="61" spans="1:6" x14ac:dyDescent="0.2">
      <c r="A61" t="s">
        <v>24</v>
      </c>
    </row>
    <row r="62" spans="1:6" x14ac:dyDescent="0.2">
      <c r="B62" t="s">
        <v>8</v>
      </c>
      <c r="C62" t="s">
        <v>9</v>
      </c>
      <c r="D62" t="s">
        <v>10</v>
      </c>
      <c r="E62" t="s">
        <v>11</v>
      </c>
      <c r="F62" t="s">
        <v>1</v>
      </c>
    </row>
    <row r="63" spans="1:6" x14ac:dyDescent="0.2">
      <c r="A63" t="s">
        <v>8</v>
      </c>
      <c r="B63">
        <v>1</v>
      </c>
      <c r="C63">
        <v>3</v>
      </c>
      <c r="D63">
        <v>4</v>
      </c>
      <c r="E63">
        <v>5</v>
      </c>
      <c r="F63">
        <v>0.49554689390446016</v>
      </c>
    </row>
    <row r="64" spans="1:6" x14ac:dyDescent="0.2">
      <c r="A64" t="s">
        <v>9</v>
      </c>
      <c r="B64">
        <f>IFERROR(1/$C$63,1)</f>
        <v>0.33333333333333331</v>
      </c>
      <c r="C64">
        <v>1</v>
      </c>
      <c r="D64">
        <v>4</v>
      </c>
      <c r="E64">
        <v>5</v>
      </c>
      <c r="F64">
        <v>0.28972939941742876</v>
      </c>
    </row>
    <row r="65" spans="1:6" x14ac:dyDescent="0.2">
      <c r="A65" t="s">
        <v>10</v>
      </c>
      <c r="B65">
        <f>IFERROR(1/$D$63,1)</f>
        <v>0.25</v>
      </c>
      <c r="C65">
        <f>IFERROR(1/$D$64,1)</f>
        <v>0.25</v>
      </c>
      <c r="D65">
        <v>1</v>
      </c>
      <c r="E65">
        <v>5</v>
      </c>
      <c r="F65">
        <v>0.15439058583566562</v>
      </c>
    </row>
    <row r="66" spans="1:6" x14ac:dyDescent="0.2">
      <c r="A66" t="s">
        <v>11</v>
      </c>
      <c r="B66">
        <f>IFERROR(1/$E$63,1)</f>
        <v>0.2</v>
      </c>
      <c r="C66">
        <f>IFERROR(1/$E$64,1)</f>
        <v>0.2</v>
      </c>
      <c r="D66">
        <f>IFERROR(1/$E$65,1)</f>
        <v>0.2</v>
      </c>
      <c r="E66">
        <v>1</v>
      </c>
      <c r="F66">
        <v>6.0333120842445527E-2</v>
      </c>
    </row>
    <row r="67" spans="1:6" x14ac:dyDescent="0.2">
      <c r="A67" t="s">
        <v>4</v>
      </c>
      <c r="B67">
        <v>1.7833333333333332</v>
      </c>
      <c r="C67">
        <v>4.45</v>
      </c>
      <c r="D67">
        <v>9.1999999999999993</v>
      </c>
      <c r="E67">
        <v>16</v>
      </c>
    </row>
  </sheetData>
  <dataValidations count="2">
    <dataValidation type="decimal" showInputMessage="1" showErrorMessage="1" errorTitle="Error - www.deyako.co.uk" error="Enter just Number (1 to 9)" promptTitle="Fill Cell with Number (1 to 9)" sqref="C75 C33 C39 C45 C51 C57 C69 D58 D75:D76 C27:D27 D33:D34 D39:D40 D45:D46 D51:D52 D69:D70" xr:uid="{00000000-0002-0000-0100-000000000000}">
      <formula1>1</formula1>
      <formula2>9</formula2>
    </dataValidation>
    <dataValidation type="decimal" showInputMessage="1" showErrorMessage="1" errorTitle="Error - www.deyako.co.uk" error="Enter just Number (0 to 9)" promptTitle="Fill Cell with Number (0 to 9)" sqref="D16:D19 C9:C10 E9:E12 D23:D25 C22:C24 C15:C16 D31 C12 C18 D9:D13 E65 D64:E64 C63:E63 E58 D57:E57 C56:E56 E51 D50:E50 C49:E49 E44 D43:E43 C42:E42 D37:E37 C35:E36 C30:E30 D29:E29 C28:E28 E23:E26 D22:E22 C21:E21 E16:E18 D15:E15 C14:E14 I9 H8:I8 G7:I7 F6:I6 E5:I5 D4:I4 C3:I3" xr:uid="{00000000-0002-0000-0100-000003000000}">
      <formula1>0.000000000000001</formula1>
      <formula2>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22.83203125" customWidth="1"/>
  </cols>
  <sheetData>
    <row r="1" spans="1:2" x14ac:dyDescent="0.2">
      <c r="A1" t="s">
        <v>2</v>
      </c>
      <c r="B1" t="s">
        <v>3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0</v>
      </c>
    </row>
    <row r="4" spans="1:2" x14ac:dyDescent="0.2">
      <c r="A4">
        <v>3</v>
      </c>
      <c r="B4">
        <v>0.57999999999999996</v>
      </c>
    </row>
    <row r="5" spans="1:2" x14ac:dyDescent="0.2">
      <c r="A5">
        <v>4</v>
      </c>
      <c r="B5">
        <v>0.9</v>
      </c>
    </row>
    <row r="6" spans="1:2" x14ac:dyDescent="0.2">
      <c r="A6">
        <v>5</v>
      </c>
      <c r="B6">
        <v>1.1200000000000001</v>
      </c>
    </row>
    <row r="7" spans="1:2" x14ac:dyDescent="0.2">
      <c r="A7">
        <v>6</v>
      </c>
      <c r="B7">
        <v>1.24</v>
      </c>
    </row>
    <row r="8" spans="1:2" x14ac:dyDescent="0.2">
      <c r="A8">
        <v>7</v>
      </c>
      <c r="B8">
        <v>1.32</v>
      </c>
    </row>
    <row r="9" spans="1:2" x14ac:dyDescent="0.2">
      <c r="A9">
        <v>8</v>
      </c>
      <c r="B9">
        <v>1.41</v>
      </c>
    </row>
    <row r="10" spans="1:2" x14ac:dyDescent="0.2">
      <c r="A10">
        <v>9</v>
      </c>
      <c r="B10">
        <v>1.45</v>
      </c>
    </row>
    <row r="11" spans="1:2" x14ac:dyDescent="0.2">
      <c r="A11">
        <v>10</v>
      </c>
      <c r="B11">
        <v>1.49</v>
      </c>
    </row>
    <row r="12" spans="1:2" x14ac:dyDescent="0.2">
      <c r="A12">
        <v>11</v>
      </c>
      <c r="B12">
        <v>1.51</v>
      </c>
    </row>
    <row r="13" spans="1:2" x14ac:dyDescent="0.2">
      <c r="A13">
        <v>12</v>
      </c>
      <c r="B13">
        <v>1.53</v>
      </c>
    </row>
    <row r="14" spans="1:2" x14ac:dyDescent="0.2">
      <c r="A14">
        <v>13</v>
      </c>
      <c r="B14">
        <v>1.56</v>
      </c>
    </row>
    <row r="15" spans="1:2" x14ac:dyDescent="0.2">
      <c r="A15">
        <v>14</v>
      </c>
      <c r="B15">
        <v>1.57</v>
      </c>
    </row>
    <row r="16" spans="1:2" x14ac:dyDescent="0.2">
      <c r="A16">
        <v>15</v>
      </c>
      <c r="B16">
        <v>1.59</v>
      </c>
    </row>
    <row r="17" spans="1:2" x14ac:dyDescent="0.2">
      <c r="A17">
        <v>16</v>
      </c>
      <c r="B17">
        <v>1.6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Control Panel</vt:lpstr>
      <vt:lpstr>Pairwise Comparison</vt:lpstr>
      <vt:lpstr>Data</vt:lpstr>
      <vt:lpstr>'Control Panel'!Yazdırma_Başlıkları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Armin Keshavarzi</dc:creator>
  <cp:lastModifiedBy>Microsoft Office User</cp:lastModifiedBy>
  <cp:lastPrinted>2019-01-27T14:47:09Z</cp:lastPrinted>
  <dcterms:created xsi:type="dcterms:W3CDTF">2019-01-23T13:07:19Z</dcterms:created>
  <dcterms:modified xsi:type="dcterms:W3CDTF">2023-05-04T19:17:03Z</dcterms:modified>
</cp:coreProperties>
</file>